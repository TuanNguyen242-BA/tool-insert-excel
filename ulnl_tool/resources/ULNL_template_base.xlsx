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ng bia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NL Chuc nang" sheetId="3" state="visible" r:id="rId3"/>
    <sheet xmlns:r="http://schemas.openxmlformats.org/officeDocument/2006/relationships" name="NL Phi CN" sheetId="4" state="visible" r:id="rId4"/>
    <sheet xmlns:r="http://schemas.openxmlformats.org/officeDocument/2006/relationships" name="Định nghĩa Loại Chức năng" sheetId="5" state="visible" r:id="rId5"/>
    <sheet xmlns:r="http://schemas.openxmlformats.org/officeDocument/2006/relationships" name="CSDL_CN" sheetId="6" state="visible" r:id="rId6"/>
    <sheet xmlns:r="http://schemas.openxmlformats.org/officeDocument/2006/relationships" name="CSDL Phi CN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color rgb="FF000000"/>
      <sz val="14"/>
    </font>
    <font>
      <name val="Times New Roman"/>
      <charset val="1"/>
      <family val="0"/>
      <b val="1"/>
      <color rgb="FF000000"/>
      <sz val="14"/>
    </font>
    <font>
      <name val="Times New Roman"/>
      <charset val="1"/>
      <family val="0"/>
      <b val="1"/>
      <color rgb="FF000000"/>
      <sz val="18"/>
    </font>
    <font>
      <name val="Times New Roman"/>
      <charset val="1"/>
      <family val="0"/>
      <color rgb="FF000000"/>
      <sz val="12"/>
    </font>
    <font>
      <name val="Times New Roman"/>
      <charset val="1"/>
      <family val="0"/>
      <b val="1"/>
      <i val="1"/>
      <color rgb="FF000000"/>
      <sz val="12"/>
    </font>
    <font>
      <name val="Times New Roman"/>
      <charset val="1"/>
      <family val="0"/>
      <b val="1"/>
      <sz val="14"/>
    </font>
    <font>
      <name val="Times New Roman"/>
      <charset val="1"/>
      <family val="0"/>
      <b val="1"/>
      <color rgb="FF000000"/>
      <sz val="16"/>
    </font>
    <font>
      <name val="Times New Roman"/>
      <charset val="1"/>
      <family val="0"/>
      <b val="1"/>
      <i val="1"/>
      <color rgb="FF000000"/>
      <sz val="16"/>
    </font>
    <font>
      <name val="Times New Roman"/>
      <charset val="1"/>
      <family val="0"/>
      <i val="1"/>
      <color rgb="FF000000"/>
      <sz val="12"/>
    </font>
    <font>
      <name val="Times New Roman"/>
      <charset val="1"/>
      <family val="0"/>
      <b val="1"/>
      <color rgb="FF000000"/>
      <sz val="13"/>
    </font>
    <font>
      <name val="Times New Roman"/>
      <charset val="1"/>
      <family val="0"/>
      <b val="1"/>
      <color rgb="FF000000"/>
      <sz val="15"/>
    </font>
    <font>
      <name val="Times New Roman"/>
      <charset val="1"/>
      <family val="0"/>
      <b val="1"/>
      <color rgb="FF000000"/>
      <sz val="12"/>
    </font>
    <font>
      <name val="Times New Roman"/>
      <charset val="1"/>
      <family val="0"/>
      <b val="1"/>
      <color rgb="FF000000"/>
      <sz val="20"/>
    </font>
    <font>
      <name val="Times New Roman"/>
      <charset val="1"/>
      <family val="0"/>
      <i val="1"/>
      <color rgb="FF000000"/>
      <sz val="11"/>
    </font>
    <font>
      <name val="Times New Roman"/>
      <charset val="1"/>
      <family val="0"/>
      <b val="1"/>
      <color rgb="FF000000"/>
      <sz val="11"/>
    </font>
    <font>
      <name val="Times New Roman"/>
      <charset val="1"/>
      <family val="0"/>
      <b val="1"/>
      <color rgb="FF000000"/>
      <sz val="10"/>
    </font>
    <font>
      <name val="Times New Roman"/>
      <charset val="1"/>
      <family val="0"/>
      <color rgb="FF000000"/>
      <sz val="10"/>
    </font>
    <font>
      <name val="Times New Roman"/>
      <charset val="1"/>
      <family val="0"/>
      <i val="1"/>
      <color rgb="FF000000"/>
      <sz val="10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DE9D9"/>
        <bgColor rgb="FFF2F2F2"/>
      </patternFill>
    </fill>
    <fill>
      <patternFill patternType="solid">
        <fgColor rgb="FF66CC66"/>
        <bgColor rgb="FF70AD47"/>
      </patternFill>
    </fill>
    <fill>
      <patternFill patternType="solid">
        <fgColor rgb="FFF2F2F2"/>
        <bgColor rgb="FFFDE9D9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4" fontId="13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 wrapText="1"/>
    </xf>
    <xf numFmtId="2" fontId="7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4" fontId="10" fillId="0" borderId="1" applyAlignment="1" pivotButton="0" quotePrefix="0" xfId="0">
      <alignment horizontal="center" vertical="center" wrapText="1"/>
    </xf>
    <xf numFmtId="2" fontId="1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8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bottom"/>
    </xf>
    <xf numFmtId="0" fontId="18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general" vertical="bottom"/>
    </xf>
    <xf numFmtId="2" fontId="18" fillId="0" borderId="0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top" wrapText="1"/>
    </xf>
    <xf numFmtId="0" fontId="20" fillId="0" borderId="1" applyAlignment="1" pivotButton="0" quotePrefix="0" xfId="0">
      <alignment horizontal="left" vertical="top" wrapText="1"/>
    </xf>
    <xf numFmtId="2" fontId="20" fillId="0" borderId="1" applyAlignment="1" pivotButton="0" quotePrefix="0" xfId="0">
      <alignment horizontal="left" vertical="top" wrapText="1"/>
    </xf>
    <xf numFmtId="0" fontId="18" fillId="4" borderId="1" applyAlignment="1" pivotButton="0" quotePrefix="0" xfId="0">
      <alignment horizontal="center" vertical="center" wrapText="1"/>
    </xf>
    <xf numFmtId="2" fontId="18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2" fontId="18" fillId="5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general" vertical="bottom"/>
    </xf>
    <xf numFmtId="2" fontId="21" fillId="0" borderId="1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general" vertical="bottom"/>
    </xf>
    <xf numFmtId="2" fontId="2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4" fontId="13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 wrapText="1"/>
    </xf>
    <xf numFmtId="2" fontId="7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4" fontId="10" fillId="0" borderId="1" applyAlignment="1" pivotButton="0" quotePrefix="0" xfId="0">
      <alignment horizontal="center" vertical="center" wrapText="1"/>
    </xf>
    <xf numFmtId="2" fontId="1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8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9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bottom"/>
    </xf>
    <xf numFmtId="0" fontId="18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general" vertical="bottom"/>
    </xf>
    <xf numFmtId="2" fontId="18" fillId="0" borderId="0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top" wrapText="1"/>
    </xf>
    <xf numFmtId="0" fontId="20" fillId="0" borderId="1" applyAlignment="1" pivotButton="0" quotePrefix="0" xfId="0">
      <alignment horizontal="left" vertical="top" wrapText="1"/>
    </xf>
    <xf numFmtId="2" fontId="20" fillId="0" borderId="1" applyAlignment="1" pivotButton="0" quotePrefix="0" xfId="0">
      <alignment horizontal="left" vertical="top" wrapText="1"/>
    </xf>
    <xf numFmtId="0" fontId="18" fillId="4" borderId="1" applyAlignment="1" pivotButton="0" quotePrefix="0" xfId="0">
      <alignment horizontal="center" vertical="center" wrapText="1"/>
    </xf>
    <xf numFmtId="2" fontId="18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2" fontId="18" fillId="5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general" vertical="bottom"/>
    </xf>
    <xf numFmtId="2" fontId="21" fillId="0" borderId="1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general" vertical="bottom"/>
    </xf>
    <xf numFmtId="2" fontId="2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CC66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E11" authorId="0" shapeId="0">
      <text>
        <t>Tham số PCT_QTDA = 0.1. Cập nhật theo dự án (5-10%).</t>
      </text>
    </comment>
    <comment ref="E13" authorId="0" shapeId="0">
      <text>
        <t>Tham số N_MODULE=6. Cập nhật theo số module dự án.</t>
      </text>
    </comment>
    <comment ref="E14" authorId="0" shapeId="0">
      <text>
        <t>Tham số N_MODULE=6.</t>
      </text>
    </comment>
    <comment ref="E20" authorId="0" shapeId="0">
      <text>
        <t>Tham số N_UPCODE=10. Số lần upcode trong giai đoạn phát triển.</t>
      </text>
    </comment>
    <comment ref="E38" authorId="0" shapeId="0">
      <text>
        <t>Phản ánh giai đoạn 1: hệ thống chưa bàn giao, tỷ lệ 50% so với bảo hành.</t>
      </text>
    </comment>
    <comment ref="E39" authorId="0" shapeId="0">
      <text>
        <t>Tham số N_SYS=2. Số hệ thống tích hợp.</t>
      </text>
    </comment>
    <comment ref="E48" authorId="0" shapeId="0">
      <text>
        <t>N_HRS_BH=60, N_YEAR=3.</t>
      </text>
    </comment>
    <comment ref="E49" authorId="0" shapeId="0">
      <text>
        <t>N_BUGS=18.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619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.1" customWidth="1" style="51" min="1" max="1"/>
    <col width="16.5" customWidth="1" style="51" min="2" max="2"/>
    <col width="12.7" customWidth="1" style="51" min="3" max="3"/>
    <col width="14.1" customWidth="1" style="51" min="4" max="4"/>
    <col width="30.51" customWidth="1" style="51" min="5" max="5"/>
    <col width="21.1" customWidth="1" style="51" min="6" max="6"/>
    <col width="18.29" customWidth="1" style="51" min="7" max="7"/>
    <col width="8.1" customWidth="1" style="51" min="8" max="8"/>
    <col width="8.300000000000001" customWidth="1" style="51" min="9" max="9"/>
    <col width="9.1" customWidth="1" style="51" min="10" max="10"/>
    <col width="8" customWidth="1" style="51" min="11" max="11"/>
  </cols>
  <sheetData>
    <row r="1" ht="27.75" customHeight="1" s="52">
      <c r="D1" s="53" t="inlineStr">
        <is>
          <t>TẬP ĐOÀN CÔNG NGHIỆP - VIỄN THÔNG QUÂN ĐỘI</t>
        </is>
      </c>
    </row>
    <row r="2" ht="18.75" customHeight="1" s="52">
      <c r="D2" s="54" t="inlineStr">
        <is>
          <t>TỔNG CÔNG TY GIẢI PHÁP DOANH NGHIỆP VIETTEL</t>
        </is>
      </c>
    </row>
    <row r="7" ht="36" customHeight="1" s="52">
      <c r="A7" s="55" t="inlineStr">
        <is>
          <t>&lt;TÊN DỰ ÁN/TÀI LIỆU ULNL&gt;</t>
        </is>
      </c>
    </row>
    <row r="8" ht="27.75" customHeight="1" s="52">
      <c r="A8" s="51" t="n"/>
    </row>
    <row r="11" ht="15" customHeight="1" s="52">
      <c r="C11" s="56" t="inlineStr">
        <is>
          <t>Mã dự án/ mã yêu cầu:</t>
        </is>
      </c>
    </row>
    <row r="12" ht="15" customHeight="1" s="52">
      <c r="C12" s="56" t="inlineStr">
        <is>
          <t>Mã tài liệu:</t>
        </is>
      </c>
      <c r="E12" s="56" t="inlineStr">
        <is>
          <t>&lt;Mã tài liệu&gt;</t>
        </is>
      </c>
    </row>
    <row r="13" ht="15" customHeight="1" s="52">
      <c r="C13" s="56" t="inlineStr">
        <is>
          <t>Lần ước lượng</t>
        </is>
      </c>
      <c r="E13" s="56" t="inlineStr">
        <is>
          <t>Ef</t>
        </is>
      </c>
    </row>
    <row r="16" ht="15" customHeight="1" s="52">
      <c r="A16" s="57" t="inlineStr">
        <is>
          <t>Người lập:</t>
        </is>
      </c>
    </row>
    <row r="17" ht="15" customHeight="1" s="52">
      <c r="C17" s="56" t="inlineStr">
        <is>
          <t>&lt;Tên người lập&gt;</t>
        </is>
      </c>
      <c r="F17" s="56" t="inlineStr">
        <is>
          <t>&lt;Ngày lập&gt;</t>
        </is>
      </c>
    </row>
    <row r="18" ht="15" customHeight="1" s="52">
      <c r="C18" s="56" t="inlineStr">
        <is>
          <t>&lt;Chức vụ&gt;</t>
        </is>
      </c>
    </row>
    <row r="22" ht="15" customHeight="1" s="52">
      <c r="A22" s="57" t="inlineStr">
        <is>
          <t>Người kiểm tra:</t>
        </is>
      </c>
    </row>
    <row r="23" ht="15" customHeight="1" s="52">
      <c r="C23" s="56" t="inlineStr">
        <is>
          <t>&lt;Tên người kiểm tra&gt;</t>
        </is>
      </c>
      <c r="F23" s="56" t="inlineStr">
        <is>
          <t>&lt;Ngày kiểm tra&gt;</t>
        </is>
      </c>
    </row>
    <row r="24" ht="15" customHeight="1" s="52">
      <c r="C24" s="56" t="inlineStr">
        <is>
          <t>&lt;Chức vụ&gt;</t>
        </is>
      </c>
    </row>
    <row r="28" ht="15" customHeight="1" s="52">
      <c r="A28" s="57" t="inlineStr">
        <is>
          <t>Người phê duyệt:</t>
        </is>
      </c>
    </row>
    <row r="29" ht="15" customHeight="1" s="52">
      <c r="C29" s="56" t="inlineStr">
        <is>
          <t>&lt;Tên người phê duyệt&gt;</t>
        </is>
      </c>
      <c r="F29" s="56" t="inlineStr">
        <is>
          <t>&lt;Ngày phê duyệt&gt;</t>
        </is>
      </c>
    </row>
    <row r="30" ht="15" customHeight="1" s="52">
      <c r="C30" s="56" t="inlineStr">
        <is>
          <t>&lt;Chức vụ&gt;</t>
        </is>
      </c>
    </row>
  </sheetData>
  <mergeCells count="7">
    <mergeCell ref="A7:I7"/>
    <mergeCell ref="C12:D12"/>
    <mergeCell ref="C11:D11"/>
    <mergeCell ref="A8:I8"/>
    <mergeCell ref="D1:G1"/>
    <mergeCell ref="C13:D13"/>
    <mergeCell ref="D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6600"/>
    <outlinePr summaryBelow="1" summaryRight="1"/>
    <pageSetUpPr fitToPage="1"/>
  </sheetPr>
  <dimension ref="A1:J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.18" customWidth="1" style="51" min="1" max="1"/>
    <col width="5.82" customWidth="1" style="51" min="2" max="2"/>
    <col width="23.45" customWidth="1" style="51" min="3" max="3"/>
    <col width="51.45" customWidth="1" style="51" min="4" max="4"/>
    <col width="18.27" customWidth="1" style="51" min="5" max="5"/>
    <col width="21" customWidth="1" style="51" min="6" max="6"/>
    <col width="14.45" customWidth="1" style="51" min="7" max="7"/>
    <col width="18.18" customWidth="1" style="51" min="8" max="8"/>
    <col width="13.73" customWidth="1" style="51" min="9" max="9"/>
    <col width="14" customWidth="1" style="51" min="10" max="10"/>
  </cols>
  <sheetData>
    <row r="1" ht="82.5" customHeight="1" s="52">
      <c r="A1" s="58">
        <f>"PHỤ LỤC 02: ƯỚC LƯỢNG NỖ LỰC CHI TIẾT "&amp;'Trang bia'!A7&amp;CHAR(10)&amp;"(Đính kèm theo báo cáo số........./BC-........., ngày    tháng    năm... về tài liệu ước lượng nỗ lực chi tiết)"</f>
        <v/>
      </c>
    </row>
    <row r="2" ht="21" customHeight="1" s="52">
      <c r="A2" s="59" t="inlineStr">
        <is>
          <t>BẢNG TÍNH TOÁN NỖ LỰC THỰC HIỆN DỰ ÁN</t>
        </is>
      </c>
    </row>
    <row r="3" ht="19.5" customHeight="1" s="52">
      <c r="A3" s="60" t="inlineStr">
        <is>
          <t>I - Tổng nỗ lực thực hiện yêu cầu theo hướng dẫn</t>
        </is>
      </c>
    </row>
    <row r="4" ht="18.75" customHeight="1" s="52"/>
    <row r="5" ht="21.75" customHeight="1" s="52">
      <c r="B5" s="61" t="inlineStr">
        <is>
          <t>Nguồn lực cho các công việc trong dự án</t>
        </is>
      </c>
    </row>
    <row r="6" ht="30.75" customHeight="1" s="52">
      <c r="B6" s="62" t="inlineStr">
        <is>
          <t>STT</t>
        </is>
      </c>
      <c r="C6" s="63" t="inlineStr">
        <is>
          <t>Công việc</t>
        </is>
      </c>
      <c r="D6" s="63" t="inlineStr">
        <is>
          <t>Diễn giải</t>
        </is>
      </c>
      <c r="E6" s="63" t="inlineStr">
        <is>
          <t>Nỗ lực chưa tái sử dụng (MD)</t>
        </is>
      </c>
      <c r="F6" s="63" t="inlineStr">
        <is>
          <t>Nỗ lực sau khi tái sử dụng (MD)</t>
        </is>
      </c>
    </row>
    <row r="7" ht="30.75" customHeight="1" s="52">
      <c r="B7" s="64" t="n">
        <v>1</v>
      </c>
      <c r="C7" s="65" t="inlineStr">
        <is>
          <t>Tổng nỗ lực chức năng</t>
        </is>
      </c>
      <c r="D7" s="66" t="inlineStr">
        <is>
          <t>Tổng nỗ lực thực hiện cho chức năng bao gồm giải pháp phát triển kiểm thử</t>
        </is>
      </c>
      <c r="E7" s="67">
        <f>'NL Chuc nang'!N50/8+'NL Chuc nang'!N49/8</f>
        <v/>
      </c>
      <c r="F7" s="67">
        <f>ROUNDUP('NL Chuc nang'!E50/8+'NL Chuc nang'!E49/8,2)</f>
        <v/>
      </c>
      <c r="G7" s="68">
        <f>IFERROR((E7-F7)/E7,0)</f>
        <v/>
      </c>
    </row>
    <row r="8" ht="15" customHeight="1" s="52">
      <c r="B8" s="64" t="n">
        <v>2</v>
      </c>
      <c r="C8" s="69" t="inlineStr">
        <is>
          <t>Giải pháp</t>
        </is>
      </c>
      <c r="D8" s="66" t="inlineStr">
        <is>
          <t>Tổng nỗ lực thực hiện giải pháp</t>
        </is>
      </c>
      <c r="E8" s="70">
        <f>'NL Chuc nang'!K50/8</f>
        <v/>
      </c>
      <c r="F8" s="70">
        <f>ROUNDUP('NL Chuc nang'!F50/8,2)</f>
        <v/>
      </c>
      <c r="G8" s="64" t="n"/>
    </row>
    <row r="9" ht="15" customHeight="1" s="52">
      <c r="B9" s="64" t="n">
        <v>3</v>
      </c>
      <c r="C9" s="69" t="inlineStr">
        <is>
          <t>Phát triển</t>
        </is>
      </c>
      <c r="D9" s="66" t="inlineStr">
        <is>
          <t>Tổng nỗ lực thực hiện phát triển</t>
        </is>
      </c>
      <c r="E9" s="70">
        <f>ROUND('NL Chuc nang'!L50/8,2)</f>
        <v/>
      </c>
      <c r="F9" s="70">
        <f>'NL Chuc nang'!G50/8</f>
        <v/>
      </c>
      <c r="G9" s="64" t="n"/>
    </row>
    <row r="10" ht="15" customHeight="1" s="52">
      <c r="B10" s="64" t="n"/>
      <c r="C10" s="65" t="inlineStr">
        <is>
          <t>Unit test</t>
        </is>
      </c>
      <c r="D10" s="66" t="inlineStr">
        <is>
          <t>Tổng nỗ lực thực hiện unit test</t>
        </is>
      </c>
      <c r="E10" s="70">
        <f>ROUNDDOWN('NL Chuc nang'!L49/8,2)</f>
        <v/>
      </c>
      <c r="F10" s="70">
        <f>ROUND('NL Chuc nang'!G49/8,2)</f>
        <v/>
      </c>
      <c r="G10" s="64" t="n"/>
    </row>
    <row r="11" ht="15" customHeight="1" s="52">
      <c r="B11" s="64" t="n">
        <v>4</v>
      </c>
      <c r="C11" s="69" t="inlineStr">
        <is>
          <t>Kiểm thử</t>
        </is>
      </c>
      <c r="D11" s="66" t="inlineStr">
        <is>
          <t>Tổng nỗ lực thực hiện kiểm thử</t>
        </is>
      </c>
      <c r="E11" s="70">
        <f>'NL Chuc nang'!M50/8</f>
        <v/>
      </c>
      <c r="F11" s="70">
        <f>ROUNDDOWN('NL Chuc nang'!H50/8,2)</f>
        <v/>
      </c>
      <c r="G11" s="64" t="n"/>
    </row>
    <row r="12" ht="30.75" customHeight="1" s="52">
      <c r="B12" s="64" t="n">
        <v>5</v>
      </c>
      <c r="C12" s="65" t="inlineStr">
        <is>
          <t>Nỗ lực thực hiện phi chức năng</t>
        </is>
      </c>
      <c r="D12" s="66" t="inlineStr">
        <is>
          <t>Tổng nỗ lực thực hiện các công việc phi chức năng</t>
        </is>
      </c>
      <c r="E12" s="67">
        <f>ROUND('NL Phi CN'!E57/8,2)</f>
        <v/>
      </c>
      <c r="F12" s="67">
        <f>ROUNDUP('NL Phi CN'!E57/8,2)</f>
        <v/>
      </c>
      <c r="G12" s="64" t="n"/>
    </row>
    <row r="13" ht="30.75" customHeight="1" s="52">
      <c r="B13" s="64" t="n">
        <v>6</v>
      </c>
      <c r="C13" s="65" t="inlineStr">
        <is>
          <t>Nỗ lực thực hiện tiêu chuẩn QTDL</t>
        </is>
      </c>
      <c r="D13" s="66" t="inlineStr">
        <is>
          <t>Tổng nỗ lực thực hiện cho tiêu chuẩn QTDL (nếu có sheet NL QTDL thì cập nhật tham chiếu)</t>
        </is>
      </c>
      <c r="E13" s="67" t="n">
        <v>0</v>
      </c>
      <c r="F13" s="67" t="n">
        <v>0</v>
      </c>
      <c r="G13" s="64" t="n"/>
    </row>
    <row r="14" ht="60" customHeight="1" s="52">
      <c r="B14" s="64" t="n">
        <v>7</v>
      </c>
      <c r="C14" s="71" t="inlineStr">
        <is>
          <t>Tổng nỗ lực thực hiện (MD)</t>
        </is>
      </c>
      <c r="D14" s="71" t="inlineStr">
        <is>
          <t xml:space="preserve"> =(1) + (5) + (6)</t>
        </is>
      </c>
      <c r="E14" s="72">
        <f>ROUND(E12+E7+E13,2)</f>
        <v/>
      </c>
      <c r="F14" s="72">
        <f>F12+F7+F13</f>
        <v/>
      </c>
      <c r="G14" s="64" t="n"/>
    </row>
    <row r="15" ht="5.25" customHeight="1" s="52"/>
    <row r="16" ht="20.25" customHeight="1" s="52">
      <c r="A16" s="60" t="inlineStr">
        <is>
          <t>II - Tổng nỗ lực phân bổ thuê ngoài và tự thực hiện</t>
        </is>
      </c>
    </row>
    <row r="17" ht="5.25" customHeight="1" s="52"/>
    <row r="18" ht="48" customHeight="1" s="52">
      <c r="B18" s="63" t="inlineStr">
        <is>
          <t>STT</t>
        </is>
      </c>
      <c r="C18" s="63" t="inlineStr">
        <is>
          <t>Công việc</t>
        </is>
      </c>
      <c r="D18" s="63" t="inlineStr">
        <is>
          <t>Diễn giải</t>
        </is>
      </c>
      <c r="E18" s="63" t="inlineStr">
        <is>
          <t>Tổng nỗ lực (bao gồm thuê ngoài và tự thực hiện)</t>
        </is>
      </c>
      <c r="F18" s="63" t="inlineStr">
        <is>
          <t>Nỗ lực thuê ngoài</t>
        </is>
      </c>
      <c r="G18" s="63" t="inlineStr">
        <is>
          <t>Nỗ lực tự thực hiện</t>
        </is>
      </c>
      <c r="H18" s="63" t="inlineStr">
        <is>
          <t>Tỉ lệ nỗ lực từng công việc (%)</t>
        </is>
      </c>
      <c r="I18" s="63" t="inlineStr">
        <is>
          <t>Tỉ lệ thuê ngoài (%)</t>
        </is>
      </c>
      <c r="J18" s="63" t="inlineStr">
        <is>
          <t>Tỉ lệ tự thực hiện (%)</t>
        </is>
      </c>
    </row>
    <row r="19" ht="33.75" customHeight="1" s="52">
      <c r="B19" s="64" t="n">
        <v>1</v>
      </c>
      <c r="C19" s="64" t="inlineStr">
        <is>
          <t>Giải pháp</t>
        </is>
      </c>
      <c r="D19" s="66" t="inlineStr">
        <is>
          <t>Tổng nỗ lực thực hiện giải pháp</t>
        </is>
      </c>
      <c r="E19" s="73">
        <f>F19+G19</f>
        <v/>
      </c>
      <c r="F19" s="73">
        <f>ROUND('NL Chuc nang'!W50/8,2)</f>
        <v/>
      </c>
      <c r="G19" s="73">
        <f>ROUND('NL Chuc nang'!Z50/8,2)</f>
        <v/>
      </c>
      <c r="H19" s="68">
        <f>IFERROR(ROUNDUP(E19/$E$25,2),0)</f>
        <v/>
      </c>
      <c r="I19" s="68">
        <f>IFERROR(F19/E19,0)</f>
        <v/>
      </c>
      <c r="J19" s="68">
        <f>IFERROR(G19/E19,0)</f>
        <v/>
      </c>
    </row>
    <row r="20" ht="33.75" customHeight="1" s="52">
      <c r="B20" s="64" t="n">
        <v>2</v>
      </c>
      <c r="C20" s="64" t="inlineStr">
        <is>
          <t>Phát triển</t>
        </is>
      </c>
      <c r="D20" s="66" t="inlineStr">
        <is>
          <t>Tổng nỗ lực thực hiện phát triển</t>
        </is>
      </c>
      <c r="E20" s="73">
        <f>F20+G20</f>
        <v/>
      </c>
      <c r="F20" s="73">
        <f>ROUND('NL Chuc nang'!X50/8,2)</f>
        <v/>
      </c>
      <c r="G20" s="73">
        <f>'NL Chuc nang'!AA50/8</f>
        <v/>
      </c>
      <c r="H20" s="68">
        <f>IFERROR(E20/$E$25,0)</f>
        <v/>
      </c>
      <c r="I20" s="68">
        <f>IFERROR(F20/E20,0)</f>
        <v/>
      </c>
      <c r="J20" s="68">
        <f>IFERROR(G20/E20,0)</f>
        <v/>
      </c>
    </row>
    <row r="21" ht="33" customHeight="1" s="52">
      <c r="B21" s="64" t="n">
        <v>3</v>
      </c>
      <c r="C21" s="64" t="inlineStr">
        <is>
          <t>Unit test</t>
        </is>
      </c>
      <c r="D21" s="66" t="inlineStr">
        <is>
          <t>Tổng nỗ lực thực hiện unit test</t>
        </is>
      </c>
      <c r="E21" s="73">
        <f>F21+G21</f>
        <v/>
      </c>
      <c r="F21" s="73">
        <f>ROUND('NL Chuc nang'!X49/8,2)</f>
        <v/>
      </c>
      <c r="G21" s="73">
        <f>ROUND('NL Chuc nang'!AA49/8,2)</f>
        <v/>
      </c>
      <c r="H21" s="68">
        <f>IFERROR(E21/$E$25,0)</f>
        <v/>
      </c>
      <c r="I21" s="68">
        <f>IFERROR(F21/E21,0)</f>
        <v/>
      </c>
      <c r="J21" s="68">
        <f>IFERROR(G21/E21,0)</f>
        <v/>
      </c>
    </row>
    <row r="22" ht="38.25" customHeight="1" s="52">
      <c r="B22" s="64" t="n">
        <v>4</v>
      </c>
      <c r="C22" s="64" t="inlineStr">
        <is>
          <t>Kiểm thử</t>
        </is>
      </c>
      <c r="D22" s="66" t="inlineStr">
        <is>
          <t>Tổng nỗ lực thực hiện kiểm thử</t>
        </is>
      </c>
      <c r="E22" s="73">
        <f>F22+G22</f>
        <v/>
      </c>
      <c r="F22" s="73">
        <f>ROUNDDOWN('NL Chuc nang'!Y50/8,2)</f>
        <v/>
      </c>
      <c r="G22" s="73">
        <f>ROUNDUP('NL Chuc nang'!AB50/8,2)</f>
        <v/>
      </c>
      <c r="H22" s="68">
        <f>IFERROR(ROUNDDOWN(E22/$E$25,2),0)</f>
        <v/>
      </c>
      <c r="I22" s="68">
        <f>IFERROR(F22/E22,0)</f>
        <v/>
      </c>
      <c r="J22" s="68">
        <f>IFERROR(G22/E22,0)</f>
        <v/>
      </c>
    </row>
    <row r="23" ht="41.25" customHeight="1" s="52">
      <c r="B23" s="64" t="n">
        <v>5</v>
      </c>
      <c r="C23" s="64" t="inlineStr">
        <is>
          <t>Phi chức năng</t>
        </is>
      </c>
      <c r="D23" s="66" t="inlineStr">
        <is>
          <t>Tổng nỗ lực thực hiện các công việc phi chức năng</t>
        </is>
      </c>
      <c r="E23" s="73">
        <f>F23+G23</f>
        <v/>
      </c>
      <c r="F23" s="73">
        <f>'NL Phi CN'!G57/8</f>
        <v/>
      </c>
      <c r="G23" s="73">
        <f>ROUND('NL Phi CN'!H57/8,2)</f>
        <v/>
      </c>
      <c r="H23" s="68">
        <f>IFERROR(ROUND(E23/$E$25,2),0)</f>
        <v/>
      </c>
      <c r="I23" s="68">
        <f>IFERROR(F23/E23,0)</f>
        <v/>
      </c>
      <c r="J23" s="68">
        <f>IFERROR(G23/E23,0)</f>
        <v/>
      </c>
    </row>
    <row r="24" ht="47.25" customHeight="1" s="52">
      <c r="B24" s="64" t="n">
        <v>6</v>
      </c>
      <c r="C24" s="64" t="inlineStr">
        <is>
          <t>Nỗ lực thực hiện tiêu chuẩn QTDL</t>
        </is>
      </c>
      <c r="D24" s="66" t="inlineStr">
        <is>
          <t>Tổng nỗ lực thực hiện cho tiêu chuẩn QTDL</t>
        </is>
      </c>
      <c r="E24" s="73">
        <f>F24+G24</f>
        <v/>
      </c>
      <c r="F24" s="73" t="n">
        <v>0</v>
      </c>
      <c r="G24" s="73" t="n">
        <v>0</v>
      </c>
      <c r="H24" s="68">
        <f>IFERROR(E24/$E$25,0)</f>
        <v/>
      </c>
      <c r="I24" s="68">
        <f>IFERROR(F24/E24,0)</f>
        <v/>
      </c>
      <c r="J24" s="68">
        <f>IFERROR(G24/E24,0)</f>
        <v/>
      </c>
    </row>
    <row r="25" ht="37.5" customHeight="1" s="52">
      <c r="B25" s="64" t="n">
        <v>7</v>
      </c>
      <c r="C25" s="74" t="inlineStr">
        <is>
          <t>Tổng nỗ lực thực hiện (MD)</t>
        </is>
      </c>
      <c r="D25" s="66" t="inlineStr">
        <is>
          <t xml:space="preserve"> = (1) + (2) + (3) + (4) + (5) + (6)</t>
        </is>
      </c>
      <c r="E25" s="72">
        <f>F25+G25</f>
        <v/>
      </c>
      <c r="F25" s="72">
        <f>SUM(F19:F24)</f>
        <v/>
      </c>
      <c r="G25" s="72">
        <f>SUM(G19:G24)</f>
        <v/>
      </c>
      <c r="H25" s="68">
        <f>IFERROR(E25/$E$25,0)</f>
        <v/>
      </c>
      <c r="I25" s="68">
        <f>IFERROR(F25/E25,0)</f>
        <v/>
      </c>
      <c r="J25" s="68">
        <f>IFERROR(G25/E25,0)</f>
        <v/>
      </c>
    </row>
    <row r="26" ht="37.5" customHeight="1" s="52">
      <c r="B26" s="64" t="n">
        <v>8</v>
      </c>
      <c r="C26" s="74" t="inlineStr">
        <is>
          <t>Tổng nỗ lực thực hiện (MM)</t>
        </is>
      </c>
      <c r="D26" s="66" t="inlineStr">
        <is>
          <t>Thuê ngoài: 1 MM = 22 MDs
Nội bộ: 1 MM = 22 MDs</t>
        </is>
      </c>
      <c r="E26" s="72">
        <f>ROUNDUP(SUM(F26:G26),2)</f>
        <v/>
      </c>
      <c r="F26" s="72">
        <f>F25/22</f>
        <v/>
      </c>
      <c r="G26" s="72">
        <f>G25/22</f>
        <v/>
      </c>
      <c r="H26" s="68">
        <f>IFERROR(E26/$E$25,0)</f>
        <v/>
      </c>
      <c r="I26" s="68">
        <f>IFERROR(F26/E26,0)</f>
        <v/>
      </c>
      <c r="J26" s="68">
        <f>IFERROR(G26/E26,0)</f>
        <v/>
      </c>
    </row>
  </sheetData>
  <mergeCells count="3">
    <mergeCell ref="A1:J1"/>
    <mergeCell ref="A2:J2"/>
    <mergeCell ref="B5:F5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0AD47"/>
    <outlinePr summaryBelow="1" summaryRight="1"/>
    <pageSetUpPr fitToPage="1"/>
  </sheetPr>
  <dimension ref="A1:A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51" min="1" max="1"/>
    <col width="12" customWidth="1" style="51" min="2" max="2"/>
    <col width="36" customWidth="1" style="51" min="3" max="3"/>
    <col width="50" customWidth="1" style="51" min="4" max="4"/>
    <col width="10" customWidth="1" style="51" min="5" max="8"/>
    <col width="14" customWidth="1" style="51" min="9" max="9"/>
    <col width="22" customWidth="1" style="51" min="10" max="10"/>
    <col width="10" customWidth="1" style="51" min="11" max="14"/>
    <col width="8" customWidth="1" style="51" min="15" max="17"/>
    <col width="22" customWidth="1" style="51" min="18" max="18"/>
    <col width="18" customWidth="1" style="51" min="19" max="19"/>
    <col width="8" customWidth="1" style="51" min="20" max="22"/>
    <col width="10" customWidth="1" style="51" min="23" max="28"/>
  </cols>
  <sheetData>
    <row r="1" ht="31.5" customHeight="1" s="52">
      <c r="A1" s="75">
        <f>'Trang bia'!A7</f>
        <v/>
      </c>
    </row>
    <row r="2" ht="25.5" customHeight="1" s="52">
      <c r="A2" s="76" t="inlineStr">
        <is>
          <t>BẢNG DANH SÁCH CHỨC NĂNG</t>
        </is>
      </c>
    </row>
    <row r="3" ht="15" customHeight="1" s="52">
      <c r="A3" s="77" t="inlineStr">
        <is>
          <t>* Điền thông tin vào các cột màu trắng</t>
        </is>
      </c>
    </row>
    <row r="4" ht="30" customHeight="1" s="52">
      <c r="A4" s="77" t="inlineStr">
        <is>
          <t>Giải pháp bao gồm Phân tích thiết kế; Phát triển: gồm lập trình, sửa lỗi, unit test; Kiểm thử: Kịch bản kiểm thử, Test tính năng, hướng dẫn sử dụng</t>
        </is>
      </c>
    </row>
    <row r="5" ht="7.5" customHeight="1" s="52">
      <c r="A5" s="78" t="n"/>
    </row>
    <row r="6" ht="31.5" customHeight="1" s="52">
      <c r="A6" s="79" t="inlineStr">
        <is>
          <t>TT</t>
        </is>
      </c>
      <c r="B6" s="79" t="inlineStr">
        <is>
          <t>Mã yêu cầu</t>
        </is>
      </c>
      <c r="C6" s="79" t="inlineStr">
        <is>
          <t>Tên Chức năng</t>
        </is>
      </c>
      <c r="D6" s="79" t="inlineStr">
        <is>
          <t>Mô tả chức năng</t>
        </is>
      </c>
      <c r="E6" s="79" t="inlineStr">
        <is>
          <t>Nỗ lực thực hiện sau khi tái sử dụng (MH)</t>
        </is>
      </c>
      <c r="F6" s="80" t="n"/>
      <c r="G6" s="80" t="n"/>
      <c r="H6" s="81" t="n"/>
      <c r="I6" s="79" t="inlineStr">
        <is>
          <t>Mã chức năng</t>
        </is>
      </c>
      <c r="J6" s="79" t="inlineStr">
        <is>
          <t>Tên loại chức năng</t>
        </is>
      </c>
      <c r="K6" s="79" t="inlineStr">
        <is>
          <t>Nỗ lực thực hiện chưa tái sử dụng</t>
        </is>
      </c>
      <c r="L6" s="80" t="n"/>
      <c r="M6" s="80" t="n"/>
      <c r="N6" s="81" t="n"/>
      <c r="O6" s="79" t="inlineStr">
        <is>
          <t>Tỷ lệ tái sử dụng (%)</t>
        </is>
      </c>
      <c r="P6" s="80" t="n"/>
      <c r="Q6" s="81" t="n"/>
      <c r="R6" s="79" t="inlineStr">
        <is>
          <t>Tái sử dụng từ chức năng/hệ thống nào</t>
        </is>
      </c>
      <c r="S6" s="79" t="inlineStr">
        <is>
          <t>Ghi chú</t>
        </is>
      </c>
      <c r="T6" s="79" t="inlineStr">
        <is>
          <t>Có thuê ngoài thực hiện không?</t>
        </is>
      </c>
      <c r="U6" s="80" t="n"/>
      <c r="V6" s="81" t="n"/>
      <c r="W6" s="79" t="inlineStr">
        <is>
          <t>Nỗ lực thuê ngoài (MH)</t>
        </is>
      </c>
      <c r="X6" s="80" t="n"/>
      <c r="Y6" s="81" t="n"/>
      <c r="Z6" s="79" t="inlineStr">
        <is>
          <t>Nỗ lực tự thực hiện (MH)</t>
        </is>
      </c>
      <c r="AA6" s="80" t="n"/>
      <c r="AB6" s="81" t="n"/>
    </row>
    <row r="7" ht="31.5" customHeight="1" s="52">
      <c r="A7" s="82" t="n"/>
      <c r="B7" s="82" t="n"/>
      <c r="C7" s="82" t="n"/>
      <c r="D7" s="82" t="n"/>
      <c r="E7" s="83" t="inlineStr">
        <is>
          <t>Tổng nỗ lực thực hiện (MH)</t>
        </is>
      </c>
      <c r="F7" s="83" t="inlineStr">
        <is>
          <t>Giải pháp</t>
        </is>
      </c>
      <c r="G7" s="83" t="inlineStr">
        <is>
          <t>Phát triển</t>
        </is>
      </c>
      <c r="H7" s="83" t="inlineStr">
        <is>
          <t>Kiểm thử</t>
        </is>
      </c>
      <c r="I7" s="82" t="n"/>
      <c r="J7" s="82" t="n"/>
      <c r="K7" s="83" t="inlineStr">
        <is>
          <t>Giải pháp</t>
        </is>
      </c>
      <c r="L7" s="83" t="inlineStr">
        <is>
          <t>Phát triển</t>
        </is>
      </c>
      <c r="M7" s="83" t="inlineStr">
        <is>
          <t>Kiểm thử</t>
        </is>
      </c>
      <c r="N7" s="83" t="inlineStr">
        <is>
          <t>Tổng nỗ lực (MH)</t>
        </is>
      </c>
      <c r="O7" s="83" t="inlineStr">
        <is>
          <t>Giải pháp</t>
        </is>
      </c>
      <c r="P7" s="83" t="inlineStr">
        <is>
          <t>Phát triển</t>
        </is>
      </c>
      <c r="Q7" s="83" t="inlineStr">
        <is>
          <t>Kiểm thử</t>
        </is>
      </c>
      <c r="R7" s="82" t="n"/>
      <c r="S7" s="82" t="n"/>
      <c r="T7" s="83" t="inlineStr">
        <is>
          <t>Giải pháp</t>
        </is>
      </c>
      <c r="U7" s="83" t="inlineStr">
        <is>
          <t>Phát triển</t>
        </is>
      </c>
      <c r="V7" s="83" t="inlineStr">
        <is>
          <t>Kiểm thử</t>
        </is>
      </c>
      <c r="W7" s="83" t="inlineStr">
        <is>
          <t>Giải pháp</t>
        </is>
      </c>
      <c r="X7" s="83" t="inlineStr">
        <is>
          <t>Phát triển</t>
        </is>
      </c>
      <c r="Y7" s="83" t="inlineStr">
        <is>
          <t>Kiểm thử</t>
        </is>
      </c>
      <c r="Z7" s="83" t="inlineStr">
        <is>
          <t>Giải pháp</t>
        </is>
      </c>
      <c r="AA7" s="83" t="inlineStr">
        <is>
          <t>Phát triển</t>
        </is>
      </c>
      <c r="AB7" s="83" t="inlineStr">
        <is>
          <t>Kiểm thử</t>
        </is>
      </c>
    </row>
    <row r="8" ht="21.75" customHeight="1" s="52">
      <c r="A8" s="84" t="inlineStr">
        <is>
          <t>A</t>
        </is>
      </c>
      <c r="B8" s="84" t="inlineStr">
        <is>
          <t>NỖ LỰC CHỨC NĂNG</t>
        </is>
      </c>
      <c r="C8" s="81" t="n"/>
      <c r="D8" s="85" t="n"/>
      <c r="E8" s="85" t="n"/>
      <c r="F8" s="85" t="n"/>
      <c r="G8" s="85" t="n"/>
      <c r="H8" s="85" t="n"/>
      <c r="I8" s="85" t="n"/>
      <c r="J8" s="85" t="n"/>
      <c r="K8" s="85" t="n"/>
      <c r="L8" s="85" t="n"/>
      <c r="M8" s="85" t="n"/>
      <c r="N8" s="85" t="n"/>
      <c r="O8" s="85" t="n"/>
      <c r="P8" s="85" t="n"/>
      <c r="Q8" s="85" t="n"/>
      <c r="R8" s="85" t="n"/>
      <c r="S8" s="85" t="n"/>
      <c r="T8" s="85" t="n"/>
      <c r="U8" s="85" t="n"/>
      <c r="V8" s="85" t="n"/>
      <c r="W8" s="85" t="n"/>
      <c r="X8" s="85" t="n"/>
      <c r="Y8" s="85" t="n"/>
      <c r="Z8" s="85" t="n"/>
      <c r="AA8" s="85" t="n"/>
      <c r="AB8" s="85" t="n"/>
    </row>
    <row r="9" ht="19.5" customHeight="1" s="52">
      <c r="A9" s="79" t="inlineStr">
        <is>
          <t>I</t>
        </is>
      </c>
      <c r="B9" s="86" t="inlineStr">
        <is>
          <t>Nhóm 1</t>
        </is>
      </c>
      <c r="C9" s="87" t="n"/>
      <c r="D9" s="87" t="n"/>
      <c r="E9" s="87" t="n"/>
      <c r="F9" s="87" t="n"/>
      <c r="G9" s="87" t="n"/>
      <c r="H9" s="87" t="n"/>
      <c r="I9" s="87" t="n"/>
      <c r="J9" s="87" t="n"/>
      <c r="K9" s="87" t="n"/>
      <c r="L9" s="87" t="n"/>
      <c r="M9" s="87" t="n"/>
      <c r="N9" s="87" t="n"/>
      <c r="O9" s="87" t="n"/>
      <c r="P9" s="87" t="n"/>
      <c r="Q9" s="87" t="n"/>
      <c r="R9" s="87" t="n"/>
      <c r="S9" s="87" t="n"/>
      <c r="T9" s="87" t="n"/>
      <c r="U9" s="87" t="n"/>
      <c r="V9" s="87" t="n"/>
      <c r="W9" s="87" t="n"/>
      <c r="X9" s="87" t="n"/>
      <c r="Y9" s="87" t="n"/>
      <c r="Z9" s="87" t="n"/>
      <c r="AA9" s="87" t="n"/>
      <c r="AB9" s="87" t="n"/>
    </row>
  </sheetData>
  <mergeCells count="20">
    <mergeCell ref="A2:AB2"/>
    <mergeCell ref="A5:AB5"/>
    <mergeCell ref="J6:J7"/>
    <mergeCell ref="R6:R7"/>
    <mergeCell ref="A6:A7"/>
    <mergeCell ref="A4:AB4"/>
    <mergeCell ref="K6:N6"/>
    <mergeCell ref="B8:C8"/>
    <mergeCell ref="B6:B7"/>
    <mergeCell ref="S6:S7"/>
    <mergeCell ref="T6:V6"/>
    <mergeCell ref="A1:AB1"/>
    <mergeCell ref="Z6:AB6"/>
    <mergeCell ref="W6:Y6"/>
    <mergeCell ref="O6:Q6"/>
    <mergeCell ref="E6:H6"/>
    <mergeCell ref="I6:I7"/>
    <mergeCell ref="C6:C7"/>
    <mergeCell ref="A3:AB3"/>
    <mergeCell ref="D6:D7"/>
  </mergeCells>
  <dataValidations count="1">
    <dataValidation sqref="T9:V200" showDropDown="0" showInputMessage="0" showErrorMessage="0" allowBlank="1" type="list" errorStyle="stop" operator="between">
      <formula1>"Có,Không"</formula1>
      <formula2>0</formula2>
    </dataValidation>
  </dataValidations>
  <printOptions horizontalCentered="0" verticalCentered="0" headings="0" gridLines="0" gridLinesSet="1"/>
  <pageMargins left="0.3" right="0.3" top="0.3" bottom="0.3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F6600"/>
    <outlinePr summaryBelow="1" summaryRight="1"/>
    <pageSetUpPr fitToPage="1"/>
  </sheetPr>
  <dimension ref="A1:H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51" min="1" max="1"/>
    <col width="14" customWidth="1" style="51" min="2" max="2"/>
    <col width="30" customWidth="1" style="51" min="3" max="3"/>
    <col width="50" customWidth="1" style="51" min="4" max="4"/>
    <col width="14" customWidth="1" style="51" min="5" max="5"/>
    <col width="12" customWidth="1" style="51" min="6" max="8"/>
  </cols>
  <sheetData>
    <row r="1" ht="27.75" customHeight="1" s="52">
      <c r="A1" s="76">
        <f>'Trang bia'!A7</f>
        <v/>
      </c>
    </row>
    <row r="2" ht="24" customHeight="1" s="52">
      <c r="A2" s="88" t="inlineStr">
        <is>
          <t>ƯỚC LƯỢNG NỖ LỰC DỰ ÁN - PHI CHỨC NĂNG, CÔNG VIỆC KHÁC</t>
        </is>
      </c>
    </row>
    <row r="3" ht="15" customHeight="1" s="52">
      <c r="A3" s="77" t="inlineStr">
        <is>
          <t>* Điền thông tin vào các cột màu trắng</t>
        </is>
      </c>
    </row>
    <row r="4" ht="15" customHeight="1" s="52">
      <c r="C4" s="89" t="inlineStr">
        <is>
          <t>Người thực hiện:</t>
        </is>
      </c>
    </row>
    <row r="5" ht="15" customHeight="1" s="52">
      <c r="C5" s="89" t="inlineStr">
        <is>
          <t>Ngày thực hiện:</t>
        </is>
      </c>
    </row>
    <row r="6" ht="15" customHeight="1" s="52">
      <c r="C6" s="89" t="inlineStr">
        <is>
          <t>Tổng nỗ lực (MH):</t>
        </is>
      </c>
      <c r="D6" s="90">
        <f>E57</f>
        <v/>
      </c>
    </row>
    <row r="7" ht="15" customHeight="1" s="52">
      <c r="C7" s="89" t="inlineStr">
        <is>
          <t>Tổng nỗ lực (MM):</t>
        </is>
      </c>
      <c r="D7" s="90">
        <f>D6/8/22</f>
        <v/>
      </c>
    </row>
    <row r="8" ht="39.75" customHeight="1" s="52">
      <c r="A8" s="79" t="inlineStr">
        <is>
          <t>TT</t>
        </is>
      </c>
      <c r="B8" s="79" t="inlineStr">
        <is>
          <t>Mã đầu việc</t>
        </is>
      </c>
      <c r="C8" s="79" t="inlineStr">
        <is>
          <t>Tên đầu việc</t>
        </is>
      </c>
      <c r="D8" s="79" t="inlineStr">
        <is>
          <t>Mô tả</t>
        </is>
      </c>
      <c r="E8" s="79" t="inlineStr">
        <is>
          <t>Tổng nỗ lực thực hiện (manhours)</t>
        </is>
      </c>
      <c r="F8" s="79" t="inlineStr">
        <is>
          <t>Có thuê ngoài thực hiện không?</t>
        </is>
      </c>
      <c r="G8" s="79" t="inlineStr">
        <is>
          <t>Nỗ lực thuê ngoài</t>
        </is>
      </c>
      <c r="H8" s="79" t="inlineStr">
        <is>
          <t>Nỗ lực tự thực hiện</t>
        </is>
      </c>
    </row>
    <row r="10" ht="15" customHeight="1" s="52">
      <c r="A10" s="79" t="n"/>
      <c r="B10" s="79" t="inlineStr">
        <is>
          <t>I</t>
        </is>
      </c>
      <c r="C10" s="86" t="inlineStr">
        <is>
          <t>Nỗ lực trước triển khai</t>
        </is>
      </c>
      <c r="D10" s="86" t="n"/>
      <c r="E10" s="86" t="n"/>
      <c r="F10" s="86" t="n"/>
      <c r="G10" s="86" t="n"/>
      <c r="H10" s="86" t="n"/>
    </row>
    <row r="11" ht="23.25" customHeight="1" s="52">
      <c r="A11" s="91" t="n">
        <v>1</v>
      </c>
      <c r="B11" s="91" t="inlineStr">
        <is>
          <t>QTDA</t>
        </is>
      </c>
      <c r="C11" s="92" t="inlineStr">
        <is>
          <t>Quản trị dự án</t>
        </is>
      </c>
      <c r="D11" s="92" t="inlineStr">
        <is>
          <t>Nỗ lực QTDA (QTDA, thẩm định, test, nghiệm thu) = 10% tổng nỗ lực dự án</t>
        </is>
      </c>
      <c r="E11" s="93">
        <f>'NL Chuc nang'!E48*0.1</f>
        <v/>
      </c>
      <c r="F11" s="91" t="inlineStr">
        <is>
          <t>Không</t>
        </is>
      </c>
      <c r="G11" s="93">
        <f>IF(F11="Có",E11,0)</f>
        <v/>
      </c>
      <c r="H11" s="93">
        <f>IF(E11="",0,E11-G11)</f>
        <v/>
      </c>
    </row>
    <row r="12" ht="15" customHeight="1" s="52">
      <c r="A12" s="91" t="n">
        <v>5</v>
      </c>
      <c r="B12" s="91" t="inlineStr">
        <is>
          <t>RV1</t>
        </is>
      </c>
      <c r="C12" s="92" t="inlineStr">
        <is>
          <t>Review tài liệu giải pháp</t>
        </is>
      </c>
      <c r="D12" s="92" t="inlineStr">
        <is>
          <t>Review TKTT 2 lần (QTDA, TPGP, TPPT, KT, BA)</t>
        </is>
      </c>
      <c r="E12" s="93">
        <f>IF(B12="","",VLOOKUP(B12,'CSDL Phi CN'!$B$3:$H$72,6,FALSE()))*5*2</f>
        <v/>
      </c>
      <c r="F12" s="91" t="inlineStr">
        <is>
          <t>Không</t>
        </is>
      </c>
      <c r="G12" s="93">
        <f>IF(F12="Có",E12,0)</f>
        <v/>
      </c>
      <c r="H12" s="93">
        <f>IF(E12="",0,E12-G12)</f>
        <v/>
      </c>
    </row>
    <row r="13" ht="15" customHeight="1" s="52">
      <c r="A13" s="91" t="n">
        <v>6</v>
      </c>
      <c r="B13" s="91" t="inlineStr">
        <is>
          <t>RV1</t>
        </is>
      </c>
      <c r="C13" s="92" t="n"/>
      <c r="D13" s="92" t="inlineStr">
        <is>
          <t>Review PTYC, Prototype 2 lần × 6 module</t>
        </is>
      </c>
      <c r="E13" s="93">
        <f>IF(B13="","",VLOOKUP(B13,'CSDL Phi CN'!$B$3:$H$72,6,FALSE()))*6*2</f>
        <v/>
      </c>
      <c r="F13" s="91" t="inlineStr">
        <is>
          <t>Không</t>
        </is>
      </c>
      <c r="G13" s="93">
        <f>IF(F13="Có",E13,0)</f>
        <v/>
      </c>
      <c r="H13" s="93">
        <f>IF(E13="",0,E13-G13)</f>
        <v/>
      </c>
    </row>
    <row r="14" ht="15" customHeight="1" s="52">
      <c r="A14" s="91" t="n">
        <v>7</v>
      </c>
      <c r="B14" s="91" t="inlineStr">
        <is>
          <t>RV1</t>
        </is>
      </c>
      <c r="C14" s="92" t="n"/>
      <c r="D14" s="92" t="inlineStr">
        <is>
          <t>Review TKCT 2 lần × 6 module</t>
        </is>
      </c>
      <c r="E14" s="93">
        <f>IF(B14="","",VLOOKUP(B14,'CSDL Phi CN'!$B$3:$H$72,6,FALSE()))*6*2</f>
        <v/>
      </c>
      <c r="F14" s="91" t="inlineStr">
        <is>
          <t>Không</t>
        </is>
      </c>
      <c r="G14" s="93">
        <f>IF(F14="Có",E14,0)</f>
        <v/>
      </c>
      <c r="H14" s="93">
        <f>IF(E14="",0,E14-G14)</f>
        <v/>
      </c>
    </row>
    <row r="15" ht="15" customHeight="1" s="52">
      <c r="A15" s="91" t="n">
        <v>8</v>
      </c>
      <c r="B15" s="91" t="inlineStr">
        <is>
          <t>RV1</t>
        </is>
      </c>
      <c r="C15" s="92" t="n"/>
      <c r="D15" s="92" t="inlineStr">
        <is>
          <t>Review TKCSDL 2 lần × 6 module</t>
        </is>
      </c>
      <c r="E15" s="93">
        <f>IF(B15="","",VLOOKUP(B15,'CSDL Phi CN'!$B$3:$H$72,6,FALSE()))*6*2</f>
        <v/>
      </c>
      <c r="F15" s="91" t="inlineStr">
        <is>
          <t>Không</t>
        </is>
      </c>
      <c r="G15" s="93">
        <f>IF(F15="Có",E15,0)</f>
        <v/>
      </c>
      <c r="H15" s="93">
        <f>IF(E15="",0,E15-G15)</f>
        <v/>
      </c>
    </row>
    <row r="16" ht="15" customHeight="1" s="52">
      <c r="A16" s="91" t="n">
        <v>9</v>
      </c>
      <c r="B16" s="91" t="inlineStr">
        <is>
          <t>RV1</t>
        </is>
      </c>
      <c r="C16" s="92" t="n"/>
      <c r="D16" s="92" t="inlineStr">
        <is>
          <t>Review KBKTL 2 lần × 6 module</t>
        </is>
      </c>
      <c r="E16" s="93">
        <f>IF(B16="","",VLOOKUP(B16,'CSDL Phi CN'!$B$3:$H$72,6,FALSE()))*6*2</f>
        <v/>
      </c>
      <c r="F16" s="91" t="inlineStr">
        <is>
          <t>Không</t>
        </is>
      </c>
      <c r="G16" s="93">
        <f>IF(F16="Có",E16,0)</f>
        <v/>
      </c>
      <c r="H16" s="93">
        <f>IF(E16="",0,E16-G16)</f>
        <v/>
      </c>
    </row>
    <row r="17" ht="15" customHeight="1" s="52">
      <c r="A17" s="91" t="n">
        <v>10</v>
      </c>
      <c r="B17" s="91" t="inlineStr">
        <is>
          <t>RV1</t>
        </is>
      </c>
      <c r="C17" s="92" t="n"/>
      <c r="D17" s="92" t="inlineStr">
        <is>
          <t>Review HDSD × 6 module</t>
        </is>
      </c>
      <c r="E17" s="93">
        <f>IF(B17="","",VLOOKUP(B17,'CSDL Phi CN'!$B$3:$H$72,6,FALSE()))*6</f>
        <v/>
      </c>
      <c r="F17" s="91" t="inlineStr">
        <is>
          <t>Không</t>
        </is>
      </c>
      <c r="G17" s="93">
        <f>IF(F17="Có",E17,0)</f>
        <v/>
      </c>
      <c r="H17" s="93">
        <f>IF(E17="",0,E17-G17)</f>
        <v/>
      </c>
    </row>
    <row r="18" ht="15" customHeight="1" s="52">
      <c r="A18" s="91" t="n">
        <v>11</v>
      </c>
      <c r="B18" s="91" t="inlineStr">
        <is>
          <t>NT1</t>
        </is>
      </c>
      <c r="C18" s="92" t="inlineStr">
        <is>
          <t>Nghiệm thu</t>
        </is>
      </c>
      <c r="D18" s="92" t="inlineStr">
        <is>
          <t>Nghiệm thu nội bộ 6 Module</t>
        </is>
      </c>
      <c r="E18" s="93">
        <f>IF(B18="","",VLOOKUP(B18,'CSDL Phi CN'!$B$3:$H$72,6,FALSE()))*6</f>
        <v/>
      </c>
      <c r="F18" s="91" t="inlineStr">
        <is>
          <t>Không</t>
        </is>
      </c>
      <c r="G18" s="93">
        <f>IF(F18="Có",E18,0)</f>
        <v/>
      </c>
      <c r="H18" s="93">
        <f>IF(E18="",0,E18-G18)</f>
        <v/>
      </c>
    </row>
    <row r="19" ht="15" customHeight="1" s="52">
      <c r="A19" s="91" t="n">
        <v>12</v>
      </c>
      <c r="B19" s="91" t="inlineStr">
        <is>
          <t>NT2</t>
        </is>
      </c>
      <c r="C19" s="92" t="n"/>
      <c r="D19" s="92" t="inlineStr">
        <is>
          <t>Nghiệm thu KH 6 module × 3 người</t>
        </is>
      </c>
      <c r="E19" s="93">
        <f>IF(B19="","",VLOOKUP(B19,'CSDL Phi CN'!$B$3:$H$72,6,FALSE()))*6*3</f>
        <v/>
      </c>
      <c r="F19" s="91" t="inlineStr">
        <is>
          <t>Không</t>
        </is>
      </c>
      <c r="G19" s="93">
        <f>IF(F19="Có",E19,0)</f>
        <v/>
      </c>
      <c r="H19" s="93">
        <f>IF(E19="",0,E19-G19)</f>
        <v/>
      </c>
    </row>
    <row r="20" ht="15" customHeight="1" s="52">
      <c r="A20" s="91" t="n">
        <v>13</v>
      </c>
      <c r="B20" s="91" t="inlineStr">
        <is>
          <t>UC3</t>
        </is>
      </c>
      <c r="C20" s="92" t="inlineStr">
        <is>
          <t>Merge code</t>
        </is>
      </c>
      <c r="D20" s="92" t="inlineStr">
        <is>
          <t>Merge code 10 lần trong phát triển</t>
        </is>
      </c>
      <c r="E20" s="93">
        <f>IF(B20="","",VLOOKUP(B20,'CSDL Phi CN'!$B$3:$H$72,6,FALSE()))*10</f>
        <v/>
      </c>
      <c r="F20" s="91" t="inlineStr">
        <is>
          <t>Không</t>
        </is>
      </c>
      <c r="G20" s="93">
        <f>IF(F20="Có",E20,0)</f>
        <v/>
      </c>
      <c r="H20" s="93">
        <f>IF(E20="",0,E20-G20)</f>
        <v/>
      </c>
    </row>
    <row r="21" ht="15" customHeight="1" s="52">
      <c r="A21" s="91" t="n">
        <v>14</v>
      </c>
      <c r="B21" s="91" t="inlineStr">
        <is>
          <t>UC4</t>
        </is>
      </c>
      <c r="C21" s="92" t="inlineStr">
        <is>
          <t>Test merge code</t>
        </is>
      </c>
      <c r="D21" s="92" t="inlineStr">
        <is>
          <t>Test merge code 10 lần</t>
        </is>
      </c>
      <c r="E21" s="93">
        <f>IF(B21="","",VLOOKUP(B21,'CSDL Phi CN'!$B$3:$H$72,6,FALSE()))*10</f>
        <v/>
      </c>
      <c r="F21" s="91" t="inlineStr">
        <is>
          <t>Không</t>
        </is>
      </c>
      <c r="G21" s="93">
        <f>IF(F21="Có",E21,0)</f>
        <v/>
      </c>
      <c r="H21" s="93">
        <f>IF(E21="",0,E21-G21)</f>
        <v/>
      </c>
    </row>
    <row r="22" ht="15" customHeight="1" s="52">
      <c r="A22" s="91" t="n">
        <v>15</v>
      </c>
      <c r="B22" s="91" t="inlineStr">
        <is>
          <t>RV2</t>
        </is>
      </c>
      <c r="C22" s="92" t="inlineStr">
        <is>
          <t>Review code</t>
        </is>
      </c>
      <c r="D22" s="92" t="inlineStr">
        <is>
          <t>Review code 6 module × 2 lần</t>
        </is>
      </c>
      <c r="E22" s="93">
        <f>IF(B22="","",VLOOKUP(B22,'CSDL Phi CN'!$B$3:$H$72,6,FALSE()))*6*2</f>
        <v/>
      </c>
      <c r="F22" s="91" t="inlineStr">
        <is>
          <t>Không</t>
        </is>
      </c>
      <c r="G22" s="93">
        <f>IF(F22="Có",E22,0)</f>
        <v/>
      </c>
      <c r="H22" s="93">
        <f>IF(E22="",0,E22-G22)</f>
        <v/>
      </c>
    </row>
    <row r="23" ht="15" customHeight="1" s="52">
      <c r="A23" s="91" t="n">
        <v>16</v>
      </c>
      <c r="B23" s="91" t="inlineStr">
        <is>
          <t>VH1</t>
        </is>
      </c>
      <c r="C23" s="92" t="inlineStr">
        <is>
          <t>Rà soát ATTT server</t>
        </is>
      </c>
      <c r="D23" s="92" t="inlineStr">
        <is>
          <t>Rà soát ATTT server 1 lần upcode triển khai</t>
        </is>
      </c>
      <c r="E23" s="93">
        <f>IF(B23="","",VLOOKUP(B23,'CSDL Phi CN'!$B$3:$H$72,6,FALSE()))</f>
        <v/>
      </c>
      <c r="F23" s="91" t="inlineStr">
        <is>
          <t>Không</t>
        </is>
      </c>
      <c r="G23" s="93">
        <f>IF(F23="Có",E23,0)</f>
        <v/>
      </c>
      <c r="H23" s="93">
        <f>IF(E23="",0,E23-G23)</f>
        <v/>
      </c>
    </row>
    <row r="24" ht="15" customHeight="1" s="52">
      <c r="A24" s="91" t="n">
        <v>17</v>
      </c>
      <c r="B24" s="91" t="inlineStr">
        <is>
          <t>VH2</t>
        </is>
      </c>
      <c r="C24" s="92" t="inlineStr">
        <is>
          <t>Rà soát ATTT ứng dụng</t>
        </is>
      </c>
      <c r="D24" s="92" t="inlineStr">
        <is>
          <t>Rà soát ATTT ứng dụng 1 lần upcode triển khai</t>
        </is>
      </c>
      <c r="E24" s="93">
        <f>IF(B24="","",VLOOKUP(B24,'CSDL Phi CN'!$B$3:$H$72,6,FALSE()))</f>
        <v/>
      </c>
      <c r="F24" s="91" t="inlineStr">
        <is>
          <t>Không</t>
        </is>
      </c>
      <c r="G24" s="93">
        <f>IF(F24="Có",E24,0)</f>
        <v/>
      </c>
      <c r="H24" s="93">
        <f>IF(E24="",0,E24-G24)</f>
        <v/>
      </c>
    </row>
    <row r="25" ht="15" customHeight="1" s="52">
      <c r="A25" s="91" t="n">
        <v>18</v>
      </c>
      <c r="B25" s="91" t="inlineStr">
        <is>
          <t>UC2</t>
        </is>
      </c>
      <c r="C25" s="92" t="inlineStr">
        <is>
          <t>Review và phê duyệt WO upcode</t>
        </is>
      </c>
      <c r="D25" s="92" t="inlineStr">
        <is>
          <t>Review và phê duyệt WO upcode 1 lần</t>
        </is>
      </c>
      <c r="E25" s="93">
        <f>IF(B25="","",VLOOKUP(B25,'CSDL Phi CN'!$B$3:$H$72,6,FALSE()))</f>
        <v/>
      </c>
      <c r="F25" s="91" t="inlineStr">
        <is>
          <t>Không</t>
        </is>
      </c>
      <c r="G25" s="93">
        <f>IF(F25="Có",E25,0)</f>
        <v/>
      </c>
      <c r="H25" s="93">
        <f>IF(E25="",0,E25-G25)</f>
        <v/>
      </c>
    </row>
    <row r="26" ht="15" customHeight="1" s="52">
      <c r="A26" s="91" t="n">
        <v>19</v>
      </c>
      <c r="B26" s="91" t="inlineStr">
        <is>
          <t>UC5</t>
        </is>
      </c>
      <c r="C26" s="92" t="inlineStr">
        <is>
          <t>Tham gia upcode</t>
        </is>
      </c>
      <c r="D26" s="92" t="inlineStr">
        <is>
          <t>Tham gia upcode 1 lần × 3 người (web, service, test)</t>
        </is>
      </c>
      <c r="E26" s="93">
        <f>IF(B26="","",VLOOKUP(B26,'CSDL Phi CN'!$B$3:$H$72,6,FALSE()))*3</f>
        <v/>
      </c>
      <c r="F26" s="91" t="inlineStr">
        <is>
          <t>Không</t>
        </is>
      </c>
      <c r="G26" s="93">
        <f>IF(F26="Có",E26,0)</f>
        <v/>
      </c>
      <c r="H26" s="93">
        <f>IF(E26="",0,E26-G26)</f>
        <v/>
      </c>
    </row>
    <row r="27" ht="15" customHeight="1" s="52">
      <c r="A27" s="91" t="n">
        <v>20</v>
      </c>
      <c r="B27" s="91" t="inlineStr">
        <is>
          <t>UC6</t>
        </is>
      </c>
      <c r="C27" s="92" t="inlineStr">
        <is>
          <t>Release phiên bản</t>
        </is>
      </c>
      <c r="D27" s="92" t="inlineStr">
        <is>
          <t>Release jenkins + IBM 1 lần trong phát triển</t>
        </is>
      </c>
      <c r="E27" s="93">
        <f>IF(B27="","",VLOOKUP(B27,'CSDL Phi CN'!$B$3:$H$72,6,FALSE()))</f>
        <v/>
      </c>
      <c r="F27" s="91" t="inlineStr">
        <is>
          <t>Không</t>
        </is>
      </c>
      <c r="G27" s="93">
        <f>IF(F27="Có",E27,0)</f>
        <v/>
      </c>
      <c r="H27" s="93">
        <f>IF(E27="",0,E27-G27)</f>
        <v/>
      </c>
    </row>
    <row r="28" ht="23.25" customHeight="1" s="52">
      <c r="A28" s="91" t="n">
        <v>21</v>
      </c>
      <c r="B28" s="91" t="inlineStr">
        <is>
          <t>TK5</t>
        </is>
      </c>
      <c r="C28" s="92" t="inlineStr">
        <is>
          <t>Triển khai hệ thống mới trên hạ tầng mới</t>
        </is>
      </c>
      <c r="D28" s="92" t="inlineStr">
        <is>
          <t>Triển khai hệ thống mới</t>
        </is>
      </c>
      <c r="E28" s="93">
        <f>IF(B28="","",VLOOKUP(B28,'CSDL Phi CN'!$B$3:$H$72,6,FALSE()))</f>
        <v/>
      </c>
      <c r="F28" s="91" t="inlineStr">
        <is>
          <t>Không</t>
        </is>
      </c>
      <c r="G28" s="93">
        <f>IF(F28="Có",E28,0)</f>
        <v/>
      </c>
      <c r="H28" s="93">
        <f>IF(E28="",0,E28-G28)</f>
        <v/>
      </c>
    </row>
    <row r="29" ht="15" customHeight="1" s="52">
      <c r="A29" s="91" t="n">
        <v>22</v>
      </c>
      <c r="B29" s="91" t="inlineStr">
        <is>
          <t>VH4</t>
        </is>
      </c>
      <c r="C29" s="92" t="inlineStr">
        <is>
          <t>Khai báo cảnh báo giám sát</t>
        </is>
      </c>
      <c r="D29" s="92" t="inlineStr">
        <is>
          <t>Khai báo cảnh báo giám sát</t>
        </is>
      </c>
      <c r="E29" s="93">
        <f>IF(B29="","",VLOOKUP(B29,'CSDL Phi CN'!$B$3:$H$72,6,FALSE()))</f>
        <v/>
      </c>
      <c r="F29" s="91" t="inlineStr">
        <is>
          <t>Không</t>
        </is>
      </c>
      <c r="G29" s="93">
        <f>IF(F29="Có",E29,0)</f>
        <v/>
      </c>
      <c r="H29" s="93">
        <f>IF(E29="",0,E29-G29)</f>
        <v/>
      </c>
    </row>
    <row r="30" ht="15" customHeight="1" s="52">
      <c r="A30" s="91" t="n">
        <v>23</v>
      </c>
      <c r="B30" s="91" t="inlineStr">
        <is>
          <t>TK7</t>
        </is>
      </c>
      <c r="C30" s="92" t="inlineStr">
        <is>
          <t>Hồ sơ kỹ thuật</t>
        </is>
      </c>
      <c r="D30" s="92" t="inlineStr">
        <is>
          <t>Hồ sơ kỹ thuật</t>
        </is>
      </c>
      <c r="E30" s="93">
        <f>IF(B30="","",VLOOKUP(B30,'CSDL Phi CN'!$B$3:$H$72,6,FALSE()))</f>
        <v/>
      </c>
      <c r="F30" s="91" t="inlineStr">
        <is>
          <t>Không</t>
        </is>
      </c>
      <c r="G30" s="93">
        <f>IF(F30="Có",E30,0)</f>
        <v/>
      </c>
      <c r="H30" s="93">
        <f>IF(E30="",0,E30-G30)</f>
        <v/>
      </c>
    </row>
    <row r="31" ht="15" customHeight="1" s="52">
      <c r="A31" s="91" t="n">
        <v>24</v>
      </c>
      <c r="B31" s="91" t="inlineStr">
        <is>
          <t>TK8</t>
        </is>
      </c>
      <c r="C31" s="92" t="inlineStr">
        <is>
          <t>Bộ chỉ tiêu kỹ thuật</t>
        </is>
      </c>
      <c r="D31" s="92" t="inlineStr">
        <is>
          <t>Xây dựng và chuẩn hóa bộ chỉ tiêu kỹ thuật (×4)</t>
        </is>
      </c>
      <c r="E31" s="93">
        <f>IF(B31="","",VLOOKUP(B31,'CSDL Phi CN'!$B$3:$H$72,6,FALSE()))*4</f>
        <v/>
      </c>
      <c r="F31" s="91" t="inlineStr">
        <is>
          <t>Không</t>
        </is>
      </c>
      <c r="G31" s="93">
        <f>IF(F31="Có",E31,0)</f>
        <v/>
      </c>
      <c r="H31" s="93">
        <f>IF(E31="",0,E31-G31)</f>
        <v/>
      </c>
    </row>
    <row r="32" ht="15" customHeight="1" s="52">
      <c r="A32" s="91" t="n">
        <v>25</v>
      </c>
      <c r="B32" s="91" t="inlineStr">
        <is>
          <t>SZ6</t>
        </is>
      </c>
      <c r="C32" s="92" t="inlineStr">
        <is>
          <t>Sizing tự test đo trên lab</t>
        </is>
      </c>
      <c r="D32" s="92" t="inlineStr">
        <is>
          <t>Sizing &gt;10 module</t>
        </is>
      </c>
      <c r="E32" s="93">
        <f>IF(B32="","",VLOOKUP(B32,'CSDL Phi CN'!$B$3:$H$72,6,FALSE()))</f>
        <v/>
      </c>
      <c r="F32" s="91" t="inlineStr">
        <is>
          <t>Không</t>
        </is>
      </c>
      <c r="G32" s="93">
        <f>IF(F32="Có",E32,0)</f>
        <v/>
      </c>
      <c r="H32" s="93">
        <f>IF(E32="",0,E32-G32)</f>
        <v/>
      </c>
    </row>
    <row r="33" ht="15" customHeight="1" s="52">
      <c r="A33" s="91" t="n">
        <v>26</v>
      </c>
      <c r="B33" s="91" t="inlineStr">
        <is>
          <t>SZ3</t>
        </is>
      </c>
      <c r="C33" s="92" t="inlineStr">
        <is>
          <t>Sizing có hệ thống tham chiếu</t>
        </is>
      </c>
      <c r="D33" s="92" t="inlineStr">
        <is>
          <t>Sizing lại sau khi có hệ thống</t>
        </is>
      </c>
      <c r="E33" s="93">
        <f>IF(B33="","",VLOOKUP(B33,'CSDL Phi CN'!$B$3:$H$72,6,FALSE()))</f>
        <v/>
      </c>
      <c r="F33" s="91" t="inlineStr">
        <is>
          <t>Không</t>
        </is>
      </c>
      <c r="G33" s="93">
        <f>IF(F33="Có",E33,0)</f>
        <v/>
      </c>
      <c r="H33" s="93">
        <f>IF(E33="",0,E33-G33)</f>
        <v/>
      </c>
    </row>
    <row r="34" ht="15" customHeight="1" s="52">
      <c r="A34" s="91" t="n">
        <v>27</v>
      </c>
      <c r="B34" s="91" t="inlineStr">
        <is>
          <t>TK9</t>
        </is>
      </c>
      <c r="C34" s="92" t="inlineStr">
        <is>
          <t>Dựng môi trường test hiệu năng</t>
        </is>
      </c>
      <c r="D34" s="92" t="inlineStr">
        <is>
          <t>Dựng môi trường test hiệu năng</t>
        </is>
      </c>
      <c r="E34" s="93">
        <f>IF(B34="","",VLOOKUP(B34,'CSDL Phi CN'!$B$3:$H$72,6,FALSE()))</f>
        <v/>
      </c>
      <c r="F34" s="91" t="inlineStr">
        <is>
          <t>Không</t>
        </is>
      </c>
      <c r="G34" s="93">
        <f>IF(F34="Có",E34,0)</f>
        <v/>
      </c>
      <c r="H34" s="93">
        <f>IF(E34="",0,E34-G34)</f>
        <v/>
      </c>
    </row>
    <row r="35" ht="15" customHeight="1" s="52">
      <c r="A35" s="91" t="n">
        <v>28</v>
      </c>
      <c r="B35" s="91" t="inlineStr">
        <is>
          <t>TK10</t>
        </is>
      </c>
      <c r="C35" s="92" t="inlineStr">
        <is>
          <t>Test hiệu năng</t>
        </is>
      </c>
      <c r="D35" s="92" t="inlineStr">
        <is>
          <t>Test hiệu năng (×2)</t>
        </is>
      </c>
      <c r="E35" s="93">
        <f>IF(B35="","",VLOOKUP(B35,'CSDL Phi CN'!$B$3:$H$72,6,FALSE()))*2</f>
        <v/>
      </c>
      <c r="F35" s="91" t="inlineStr">
        <is>
          <t>Không</t>
        </is>
      </c>
      <c r="G35" s="93">
        <f>IF(F35="Có",E35,0)</f>
        <v/>
      </c>
      <c r="H35" s="93">
        <f>IF(E35="",0,E35-G35)</f>
        <v/>
      </c>
    </row>
    <row r="36" ht="23.25" customHeight="1" s="52">
      <c r="A36" s="91" t="n">
        <v>29</v>
      </c>
      <c r="B36" s="91" t="inlineStr">
        <is>
          <t>TK11</t>
        </is>
      </c>
      <c r="C36" s="92" t="inlineStr">
        <is>
          <t>Báo cáo và đánh giá hệ thống sau test hiệu năng</t>
        </is>
      </c>
      <c r="D36" s="92" t="inlineStr">
        <is>
          <t>Báo cáo, đánh giá sau test HN</t>
        </is>
      </c>
      <c r="E36" s="93">
        <f>IF(B36="","",VLOOKUP(B36,'CSDL Phi CN'!$B$3:$H$72,6,FALSE()))</f>
        <v/>
      </c>
      <c r="F36" s="91" t="inlineStr">
        <is>
          <t>Không</t>
        </is>
      </c>
      <c r="G36" s="93">
        <f>IF(F36="Có",E36,0)</f>
        <v/>
      </c>
      <c r="H36" s="93">
        <f>IF(E36="",0,E36-G36)</f>
        <v/>
      </c>
    </row>
    <row r="37" ht="23.25" customHeight="1" s="52">
      <c r="A37" s="91" t="n">
        <v>30</v>
      </c>
      <c r="B37" s="91" t="inlineStr">
        <is>
          <t>UC1</t>
        </is>
      </c>
      <c r="C37" s="92" t="inlineStr">
        <is>
          <t>Làm các thủ tục upcode và bàn giao trên WO</t>
        </is>
      </c>
      <c r="D37" s="92" t="inlineStr">
        <is>
          <t>Thủ tục upcode + bàn giao 1 lần</t>
        </is>
      </c>
      <c r="E37" s="93">
        <f>IF(B37="","",VLOOKUP(B37,'CSDL Phi CN'!$B$3:$H$72,6,FALSE()))</f>
        <v/>
      </c>
      <c r="F37" s="91" t="inlineStr">
        <is>
          <t>Không</t>
        </is>
      </c>
      <c r="G37" s="93">
        <f>IF(F37="Có",E37,0)</f>
        <v/>
      </c>
      <c r="H37" s="93">
        <f>IF(E37="",0,E37-G37)</f>
        <v/>
      </c>
    </row>
    <row r="38" ht="15" customHeight="1" s="52">
      <c r="A38" s="91" t="n">
        <v>31</v>
      </c>
      <c r="B38" s="91" t="inlineStr">
        <is>
          <t>VH6</t>
        </is>
      </c>
      <c r="C38" s="92" t="inlineStr">
        <is>
          <t>Hỗ trợ phản ánh GĐ1</t>
        </is>
      </c>
      <c r="D38" s="92" t="inlineStr">
        <is>
          <t>Phản ánh GĐ1 mỗi tháng 12h × 12 tháng × 50.0%</t>
        </is>
      </c>
      <c r="E38" s="93">
        <f>288*0.5</f>
        <v/>
      </c>
      <c r="F38" s="91" t="inlineStr">
        <is>
          <t>Không</t>
        </is>
      </c>
      <c r="G38" s="93">
        <f>IF(F38="Có",E38,0)</f>
        <v/>
      </c>
      <c r="H38" s="93">
        <f>IF(E38="",0,E38-G38)</f>
        <v/>
      </c>
    </row>
    <row r="39" ht="15" customHeight="1" s="52">
      <c r="A39" s="91" t="n">
        <v>32</v>
      </c>
      <c r="B39" s="91" t="inlineStr">
        <is>
          <t>TH</t>
        </is>
      </c>
      <c r="C39" s="92" t="inlineStr">
        <is>
          <t>Test Tích hợp hệ thống khác</t>
        </is>
      </c>
      <c r="D39" s="92" t="inlineStr">
        <is>
          <t>Test tích hợp với 2 hệ thống × 40h</t>
        </is>
      </c>
      <c r="E39" s="93">
        <f>40*2</f>
        <v/>
      </c>
      <c r="F39" s="91" t="inlineStr">
        <is>
          <t>Không</t>
        </is>
      </c>
      <c r="G39" s="93">
        <f>IF(F39="Có",E39,0)</f>
        <v/>
      </c>
      <c r="H39" s="93">
        <f>IF(E39="",0,E39-G39)</f>
        <v/>
      </c>
    </row>
    <row r="40" ht="15" customHeight="1" s="52">
      <c r="A40" s="91" t="n">
        <v>33</v>
      </c>
      <c r="B40" s="91" t="inlineStr">
        <is>
          <t>DT6</t>
        </is>
      </c>
      <c r="C40" s="92" t="inlineStr">
        <is>
          <t>Tài liệu hướng dẫn cài đặt</t>
        </is>
      </c>
      <c r="D40" s="92" t="inlineStr">
        <is>
          <t>TL HDCD cho 7 module × 2h</t>
        </is>
      </c>
      <c r="E40" s="93">
        <f>2*7</f>
        <v/>
      </c>
      <c r="F40" s="91" t="inlineStr">
        <is>
          <t>Không</t>
        </is>
      </c>
      <c r="G40" s="93">
        <f>IF(F40="Có",E40,0)</f>
        <v/>
      </c>
      <c r="H40" s="93">
        <f>IF(E40="",0,E40-G40)</f>
        <v/>
      </c>
    </row>
    <row r="41" ht="23.25" customHeight="1" s="52">
      <c r="A41" s="91" t="n">
        <v>34</v>
      </c>
      <c r="B41" s="91" t="n"/>
      <c r="C41" s="92" t="inlineStr">
        <is>
          <t>Hỗ trợ khách hàng đẩy dữ liệu lên hệ thống</t>
        </is>
      </c>
      <c r="D41" s="92" t="inlineStr">
        <is>
          <t>Hỗ trợ KH đẩy dữ liệu. Dự kiến 40h</t>
        </is>
      </c>
      <c r="E41" s="93" t="inlineStr">
        <is>
          <t>40</t>
        </is>
      </c>
      <c r="F41" s="91" t="inlineStr">
        <is>
          <t>Không</t>
        </is>
      </c>
      <c r="G41" s="93">
        <f>IF(F41="Có",E41,0)</f>
        <v/>
      </c>
      <c r="H41" s="93">
        <f>IF(E41="",0,E41-G41)</f>
        <v/>
      </c>
    </row>
    <row r="43" ht="15" customHeight="1" s="52">
      <c r="A43" s="79" t="n"/>
      <c r="B43" s="79" t="inlineStr">
        <is>
          <t>II</t>
        </is>
      </c>
      <c r="C43" s="86" t="inlineStr">
        <is>
          <t>Đào tạo</t>
        </is>
      </c>
      <c r="D43" s="86" t="n"/>
      <c r="E43" s="86" t="n"/>
      <c r="F43" s="86" t="n"/>
      <c r="G43" s="86" t="n"/>
      <c r="H43" s="86" t="n"/>
    </row>
    <row r="44" ht="15" customHeight="1" s="52">
      <c r="A44" s="91" t="n">
        <v>37</v>
      </c>
      <c r="B44" s="91" t="inlineStr">
        <is>
          <t>DT1</t>
        </is>
      </c>
      <c r="C44" s="92" t="inlineStr">
        <is>
          <t>Đào tạo quản trị vận hành hệ thống</t>
        </is>
      </c>
      <c r="D44" s="92" t="inlineStr">
        <is>
          <t>TL HDVH 3 ngày + Đào tạo 5 ngày × 3 người</t>
        </is>
      </c>
      <c r="E44" s="93">
        <f>(3+5*3)*8</f>
        <v/>
      </c>
      <c r="F44" s="91" t="inlineStr">
        <is>
          <t>Không</t>
        </is>
      </c>
      <c r="G44" s="93">
        <f>IF(F44="Có",E44,0)</f>
        <v/>
      </c>
      <c r="H44" s="93">
        <f>IF(E44="",0,E44-G44)</f>
        <v/>
      </c>
    </row>
    <row r="45" ht="15" customHeight="1" s="52">
      <c r="A45" s="91" t="n">
        <v>38</v>
      </c>
      <c r="B45" s="91" t="inlineStr">
        <is>
          <t>DT1</t>
        </is>
      </c>
      <c r="C45" s="92" t="inlineStr">
        <is>
          <t>Đào tạo chuyển giao công nghệ</t>
        </is>
      </c>
      <c r="D45" s="92" t="inlineStr">
        <is>
          <t>TL CGCN 3 ngày + Đào tạo 5 ngày × 3 người</t>
        </is>
      </c>
      <c r="E45" s="93">
        <f>(3+5*3)*8</f>
        <v/>
      </c>
      <c r="F45" s="91" t="inlineStr">
        <is>
          <t>Không</t>
        </is>
      </c>
      <c r="G45" s="93">
        <f>IF(F45="Có",E45,0)</f>
        <v/>
      </c>
      <c r="H45" s="93">
        <f>IF(E45="",0,E45-G45)</f>
        <v/>
      </c>
    </row>
    <row r="46" ht="15" customHeight="1" s="52">
      <c r="A46" s="91" t="n">
        <v>39</v>
      </c>
      <c r="B46" s="91" t="inlineStr">
        <is>
          <t>DT1</t>
        </is>
      </c>
      <c r="C46" s="92" t="inlineStr">
        <is>
          <t>Đào tạo người dùng</t>
        </is>
      </c>
      <c r="D46" s="92" t="inlineStr">
        <is>
          <t>1 lớp TT 3 ngày × 2 người + 4 lớp online 3 ngày × 2 người</t>
        </is>
      </c>
      <c r="E46" s="93">
        <f>((5+3*2)+(4+4*3*2))*8</f>
        <v/>
      </c>
      <c r="F46" s="91" t="inlineStr">
        <is>
          <t>Không</t>
        </is>
      </c>
      <c r="G46" s="93">
        <f>IF(F46="Có",E46,0)</f>
        <v/>
      </c>
      <c r="H46" s="93">
        <f>IF(E46="",0,E46-G46)</f>
        <v/>
      </c>
    </row>
    <row r="47" ht="24.75" customHeight="1" s="52">
      <c r="A47" s="79" t="n"/>
      <c r="B47" s="79" t="inlineStr">
        <is>
          <t>III</t>
        </is>
      </c>
      <c r="C47" s="86" t="inlineStr">
        <is>
          <t>Bảo hành và hỗ trợ vận hành 3 năm</t>
        </is>
      </c>
      <c r="D47" s="86" t="n"/>
      <c r="E47" s="86" t="n"/>
      <c r="F47" s="86" t="n"/>
      <c r="G47" s="86" t="n"/>
      <c r="H47" s="86" t="n"/>
    </row>
    <row r="48" ht="15" customHeight="1" s="52">
      <c r="A48" s="91" t="n">
        <v>40</v>
      </c>
      <c r="B48" s="91" t="inlineStr">
        <is>
          <t>VH6</t>
        </is>
      </c>
      <c r="C48" s="92" t="inlineStr">
        <is>
          <t>Hỗ trợ phản ánh</t>
        </is>
      </c>
      <c r="D48" s="92" t="inlineStr">
        <is>
          <t>Phản ánh mỗi tháng 60h × 12 × 3 năm</t>
        </is>
      </c>
      <c r="E48" s="93">
        <f>60*12*3</f>
        <v/>
      </c>
      <c r="F48" s="91" t="inlineStr">
        <is>
          <t>Không</t>
        </is>
      </c>
      <c r="G48" s="93">
        <f>IF(F48="Có",E48,0)</f>
        <v/>
      </c>
      <c r="H48" s="93">
        <f>IF(E48="",0,E48-G48)</f>
        <v/>
      </c>
    </row>
    <row r="49" ht="15" customHeight="1" s="52">
      <c r="A49" s="91" t="n">
        <v>41</v>
      </c>
      <c r="B49" s="91" t="inlineStr">
        <is>
          <t>VH7</t>
        </is>
      </c>
      <c r="C49" s="92" t="inlineStr">
        <is>
          <t>Fix lỗi sau triển khai</t>
        </is>
      </c>
      <c r="D49" s="92" t="inlineStr">
        <is>
          <t>Fix lỗi ≈18 lỗi (6th×2 + 6th×1)</t>
        </is>
      </c>
      <c r="E49" s="93">
        <f>IF(B49="","",VLOOKUP(B49,'CSDL Phi CN'!$B$3:$H$72,6,FALSE()))*18</f>
        <v/>
      </c>
      <c r="F49" s="91" t="inlineStr">
        <is>
          <t>Không</t>
        </is>
      </c>
      <c r="G49" s="93">
        <f>IF(F49="Có",E49,0)</f>
        <v/>
      </c>
      <c r="H49" s="93">
        <f>IF(E49="",0,E49-G49)</f>
        <v/>
      </c>
    </row>
    <row r="50" ht="15" customHeight="1" s="52">
      <c r="A50" s="91" t="n">
        <v>42</v>
      </c>
      <c r="B50" s="91" t="inlineStr">
        <is>
          <t>VH8</t>
        </is>
      </c>
      <c r="C50" s="92" t="inlineStr">
        <is>
          <t>Test fix lỗi sau triển khai</t>
        </is>
      </c>
      <c r="D50" s="92" t="inlineStr">
        <is>
          <t>Test fix lỗi ≈18 lỗi</t>
        </is>
      </c>
      <c r="E50" s="93">
        <f>IF(B50="","",VLOOKUP(B50,'CSDL Phi CN'!$B$3:$H$72,6,FALSE()))*18</f>
        <v/>
      </c>
      <c r="F50" s="91" t="inlineStr">
        <is>
          <t>Không</t>
        </is>
      </c>
      <c r="G50" s="93">
        <f>IF(F50="Có",E50,0)</f>
        <v/>
      </c>
      <c r="H50" s="93">
        <f>IF(E50="",0,E50-G50)</f>
        <v/>
      </c>
    </row>
    <row r="51" ht="15" customHeight="1" s="52">
      <c r="A51" s="91" t="n">
        <v>43</v>
      </c>
      <c r="B51" s="91" t="inlineStr">
        <is>
          <t>UC3</t>
        </is>
      </c>
      <c r="C51" s="92" t="inlineStr">
        <is>
          <t>Merge code</t>
        </is>
      </c>
      <c r="D51" s="92" t="inlineStr">
        <is>
          <t>Merge code fix lỗi ≈18 lần</t>
        </is>
      </c>
      <c r="E51" s="93">
        <f>IF(B51="","",VLOOKUP(B51,'CSDL Phi CN'!$B$3:$H$72,6,FALSE()))*18</f>
        <v/>
      </c>
      <c r="F51" s="91" t="inlineStr">
        <is>
          <t>Không</t>
        </is>
      </c>
      <c r="G51" s="93">
        <f>IF(F51="Có",E51,0)</f>
        <v/>
      </c>
      <c r="H51" s="93">
        <f>IF(E51="",0,E51-G51)</f>
        <v/>
      </c>
    </row>
    <row r="52" ht="15" customHeight="1" s="52">
      <c r="A52" s="91" t="n">
        <v>44</v>
      </c>
      <c r="B52" s="91" t="inlineStr">
        <is>
          <t>UC4</t>
        </is>
      </c>
      <c r="C52" s="92" t="inlineStr">
        <is>
          <t>Test merge code</t>
        </is>
      </c>
      <c r="D52" s="92" t="inlineStr">
        <is>
          <t>Test merge code ≈18 lần</t>
        </is>
      </c>
      <c r="E52" s="93">
        <f>IF(B52="","",VLOOKUP(B52,'CSDL Phi CN'!$B$3:$H$72,6,FALSE()))*18</f>
        <v/>
      </c>
      <c r="F52" s="91" t="inlineStr">
        <is>
          <t>Không</t>
        </is>
      </c>
      <c r="G52" s="93">
        <f>IF(F52="Có",E52,0)</f>
        <v/>
      </c>
      <c r="H52" s="93">
        <f>IF(E52="",0,E52-G52)</f>
        <v/>
      </c>
    </row>
    <row r="53" ht="15" customHeight="1" s="52">
      <c r="A53" s="91" t="n">
        <v>45</v>
      </c>
      <c r="B53" s="91" t="inlineStr">
        <is>
          <t>VH1</t>
        </is>
      </c>
      <c r="C53" s="92" t="inlineStr">
        <is>
          <t>Rà soát ATTT server</t>
        </is>
      </c>
      <c r="D53" s="92" t="inlineStr">
        <is>
          <t>ATTT server 18 lần upcode fix lỗi</t>
        </is>
      </c>
      <c r="E53" s="93">
        <f>IF(B53="","",VLOOKUP(B53,'CSDL Phi CN'!$B$3:$H$72,6,FALSE()))*18</f>
        <v/>
      </c>
      <c r="F53" s="91" t="inlineStr">
        <is>
          <t>Không</t>
        </is>
      </c>
      <c r="G53" s="93">
        <f>IF(F53="Có",E53,0)</f>
        <v/>
      </c>
      <c r="H53" s="93">
        <f>IF(E53="",0,E53-G53)</f>
        <v/>
      </c>
    </row>
    <row r="54" ht="15" customHeight="1" s="52">
      <c r="A54" s="91" t="n">
        <v>46</v>
      </c>
      <c r="B54" s="91" t="inlineStr">
        <is>
          <t>VH2</t>
        </is>
      </c>
      <c r="C54" s="92" t="inlineStr">
        <is>
          <t>Rà soát ATTT ứng dụng</t>
        </is>
      </c>
      <c r="D54" s="92" t="inlineStr">
        <is>
          <t>ATTT ứng dụng 18 lần</t>
        </is>
      </c>
      <c r="E54" s="93">
        <f>IF(B54="","",VLOOKUP(B54,'CSDL Phi CN'!$B$3:$H$72,6,FALSE()))*18</f>
        <v/>
      </c>
      <c r="F54" s="91" t="inlineStr">
        <is>
          <t>Không</t>
        </is>
      </c>
      <c r="G54" s="93">
        <f>IF(F54="Có",E54,0)</f>
        <v/>
      </c>
      <c r="H54" s="93">
        <f>IF(E54="",0,E54-G54)</f>
        <v/>
      </c>
    </row>
    <row r="55" ht="15" customHeight="1" s="52">
      <c r="A55" s="91" t="n">
        <v>47</v>
      </c>
      <c r="B55" s="91" t="inlineStr">
        <is>
          <t>UC5</t>
        </is>
      </c>
      <c r="C55" s="92" t="inlineStr">
        <is>
          <t>Tham gia upcode</t>
        </is>
      </c>
      <c r="D55" s="92" t="inlineStr">
        <is>
          <t>Tham gia upcode fix lỗi 18 lần × 3 người</t>
        </is>
      </c>
      <c r="E55" s="93">
        <f>IF(B55="","",VLOOKUP(B55,'CSDL Phi CN'!$B$3:$H$72,6,FALSE()))*18*3</f>
        <v/>
      </c>
      <c r="F55" s="91" t="inlineStr">
        <is>
          <t>Không</t>
        </is>
      </c>
      <c r="G55" s="93">
        <f>IF(F55="Có",E55,0)</f>
        <v/>
      </c>
      <c r="H55" s="93">
        <f>IF(E55="",0,E55-G55)</f>
        <v/>
      </c>
    </row>
    <row r="56" ht="15" customHeight="1" s="52">
      <c r="A56" s="91" t="n">
        <v>48</v>
      </c>
      <c r="B56" s="91" t="inlineStr">
        <is>
          <t>UC6</t>
        </is>
      </c>
      <c r="C56" s="92" t="inlineStr">
        <is>
          <t>Release phiên bản</t>
        </is>
      </c>
      <c r="D56" s="92" t="inlineStr">
        <is>
          <t>Release jenkins + IBM 18 lần</t>
        </is>
      </c>
      <c r="E56" s="93">
        <f>IF(B56="","",VLOOKUP(B56,'CSDL Phi CN'!$B$3:$H$72,6,FALSE()))*18</f>
        <v/>
      </c>
      <c r="F56" s="91" t="inlineStr">
        <is>
          <t>Không</t>
        </is>
      </c>
      <c r="G56" s="93">
        <f>IF(F56="Có",E56,0)</f>
        <v/>
      </c>
      <c r="H56" s="93">
        <f>IF(E56="",0,E56-G56)</f>
        <v/>
      </c>
    </row>
    <row r="57" ht="15" customHeight="1" s="52">
      <c r="A57" s="94" t="n"/>
      <c r="B57" s="94" t="n"/>
      <c r="C57" s="94" t="n"/>
      <c r="D57" s="94" t="inlineStr">
        <is>
          <t>Nỗ lực (MH)</t>
        </is>
      </c>
      <c r="E57" s="95">
        <f>SUM(E11:E56)</f>
        <v/>
      </c>
      <c r="F57" s="94" t="n"/>
      <c r="G57" s="95">
        <f>SUM(G11:G56)</f>
        <v/>
      </c>
      <c r="H57" s="95">
        <f>SUM(H11:H56)</f>
        <v/>
      </c>
    </row>
    <row r="58" ht="15" customHeight="1" s="52">
      <c r="A58" s="96" t="n"/>
      <c r="B58" s="96" t="n"/>
      <c r="C58" s="96" t="n"/>
      <c r="D58" s="96" t="inlineStr">
        <is>
          <t>Nỗ lực (MD)</t>
        </is>
      </c>
      <c r="E58" s="97">
        <f>E57/8</f>
        <v/>
      </c>
      <c r="F58" s="96" t="n"/>
      <c r="G58" s="97">
        <f>G57/8</f>
        <v/>
      </c>
      <c r="H58" s="97">
        <f>H57/8</f>
        <v/>
      </c>
    </row>
    <row r="59" ht="15" customHeight="1" s="52">
      <c r="A59" s="96" t="n"/>
      <c r="B59" s="96" t="n"/>
      <c r="C59" s="96" t="n"/>
      <c r="D59" s="96" t="inlineStr">
        <is>
          <t>Nỗ lực (MM) 1 MM = 22 MDs</t>
        </is>
      </c>
      <c r="E59" s="97">
        <f>E58/22</f>
        <v/>
      </c>
      <c r="F59" s="96" t="n"/>
      <c r="G59" s="97">
        <f>G58/22</f>
        <v/>
      </c>
      <c r="H59" s="97">
        <f>H58/22</f>
        <v/>
      </c>
    </row>
    <row r="60" ht="15" customHeight="1" s="52">
      <c r="D60" s="98" t="inlineStr">
        <is>
          <t>- Nỗ lực (MM) trước triển khai (Section I)</t>
        </is>
      </c>
      <c r="E60" s="99">
        <f>SUM(E11:E42)/8/22</f>
        <v/>
      </c>
    </row>
    <row r="61" ht="15" customHeight="1" s="52">
      <c r="D61" s="98" t="inlineStr">
        <is>
          <t>- Nỗ lực (MM) đào tạo (Section II)</t>
        </is>
      </c>
      <c r="E61" s="99">
        <f>SUM(E44:E46)/8/22</f>
        <v/>
      </c>
    </row>
    <row r="62" ht="15" customHeight="1" s="52">
      <c r="D62" s="98" t="inlineStr">
        <is>
          <t>- Nỗ lực (MM) bảo hành (Section III)</t>
        </is>
      </c>
      <c r="E62" s="99">
        <f>SUM(E48:E56)/8/22</f>
        <v/>
      </c>
    </row>
  </sheetData>
  <mergeCells count="3">
    <mergeCell ref="A3:H3"/>
    <mergeCell ref="A2:H2"/>
    <mergeCell ref="A1:H1"/>
  </mergeCells>
  <dataValidations count="1">
    <dataValidation sqref="F11:F56" showDropDown="0" showInputMessage="0" showErrorMessage="0" allowBlank="1" type="list" errorStyle="stop" operator="between">
      <formula1>"Có,Không"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51" min="1" max="1"/>
    <col width="24" customWidth="1" style="51" min="2" max="2"/>
    <col width="36" customWidth="1" style="51" min="3" max="3"/>
    <col width="18" customWidth="1" style="51" min="4" max="4"/>
    <col width="50" customWidth="1" style="51" min="5" max="5"/>
    <col width="40" customWidth="1" style="51" min="6" max="6"/>
  </cols>
  <sheetData>
    <row r="1" ht="39.75" customHeight="1" s="52">
      <c r="A1" s="100" t="inlineStr">
        <is>
          <t>PHỤ LỤC 1.1
DANH SÁCH LOẠI CHỨC NĂNG</t>
        </is>
      </c>
    </row>
    <row r="3" ht="36" customHeight="1" s="52">
      <c r="A3" s="79" t="inlineStr">
        <is>
          <t>STT</t>
        </is>
      </c>
      <c r="B3" s="79" t="inlineStr">
        <is>
          <t>Mã loại chức năng</t>
        </is>
      </c>
      <c r="C3" s="79" t="inlineStr">
        <is>
          <t>Tên loại chức năng</t>
        </is>
      </c>
      <c r="D3" s="79" t="inlineStr">
        <is>
          <t>Kỹ năng</t>
        </is>
      </c>
      <c r="E3" s="79" t="inlineStr">
        <is>
          <t>Mô tả
(Trường thông tin hoặc bước xử lý nghiệp vụ)</t>
        </is>
      </c>
      <c r="F3" s="79" t="inlineStr">
        <is>
          <t>Ví dụ</t>
        </is>
      </c>
    </row>
    <row r="4" ht="23.25" customHeight="1" s="52">
      <c r="A4" s="92" t="n">
        <v>1</v>
      </c>
      <c r="B4" s="92" t="inlineStr">
        <is>
          <t>NVJ1-PTM</t>
        </is>
      </c>
      <c r="C4" s="92" t="inlineStr">
        <is>
          <t>Xử lý nghiệp vụ đơn giản</t>
        </is>
      </c>
      <c r="D4" s="92" t="inlineStr">
        <is>
          <t>SERVICE - JAVA</t>
        </is>
      </c>
      <c r="E4" s="92" t="inlineStr">
        <is>
          <t>Nghiệp vụ nhỏ hơn 5 bước
Bước là 1 xử lý logic được mô tả trong tài liệu giải pháp</t>
        </is>
      </c>
      <c r="F4" s="92" t="inlineStr">
        <is>
          <t>Tra cứu thông tin tài khoản Bankplus BCCS</t>
        </is>
      </c>
    </row>
    <row r="5" ht="15" customHeight="1" s="52">
      <c r="A5" s="92" t="n">
        <v>2</v>
      </c>
      <c r="B5" s="92" t="inlineStr">
        <is>
          <t>NVJ2-PTM</t>
        </is>
      </c>
      <c r="C5" s="92" t="inlineStr">
        <is>
          <t>Xử lý nghiệp vụ trung bình</t>
        </is>
      </c>
      <c r="D5" s="92" t="inlineStr">
        <is>
          <t>SERVICE - JAVA</t>
        </is>
      </c>
      <c r="E5" s="92" t="inlineStr">
        <is>
          <t>Nghiệp vụ từ 5 - 10 bước</t>
        </is>
      </c>
      <c r="F5" s="92" t="inlineStr">
        <is>
          <t>Đấu nối di động</t>
        </is>
      </c>
    </row>
    <row r="6" ht="15" customHeight="1" s="52">
      <c r="A6" s="92" t="n">
        <v>3</v>
      </c>
      <c r="B6" s="92" t="inlineStr">
        <is>
          <t>NVJ3-PTM</t>
        </is>
      </c>
      <c r="C6" s="92" t="inlineStr">
        <is>
          <t>Xử lý nghiệp vụ phức tạp</t>
        </is>
      </c>
      <c r="D6" s="92" t="inlineStr">
        <is>
          <t>SERVICE - JAVA</t>
        </is>
      </c>
      <c r="E6" s="92" t="inlineStr">
        <is>
          <t>Nghiệp vụ lớn hơn 10 bước</t>
        </is>
      </c>
      <c r="F6" s="92" t="inlineStr">
        <is>
          <t>Đấu nối cố định</t>
        </is>
      </c>
    </row>
    <row r="7" ht="23.25" customHeight="1" s="52">
      <c r="A7" s="92" t="n">
        <v>4</v>
      </c>
      <c r="B7" s="92" t="inlineStr">
        <is>
          <t>CN_WEB_KT</t>
        </is>
      </c>
      <c r="C7" s="92" t="inlineStr">
        <is>
          <t>Chức năng giao diện kéo thả</t>
        </is>
      </c>
      <c r="D7" s="92" t="inlineStr">
        <is>
          <t>UI - WEB</t>
        </is>
      </c>
      <c r="E7" s="92" t="inlineStr">
        <is>
          <t>Bao gồm thông tin entity và màn hình Diagram tạo liên kết giữa các entity, xử lý validate và nghiệp vụ ở service</t>
        </is>
      </c>
      <c r="F7" s="92" t="n"/>
    </row>
    <row r="8" ht="23.25" customHeight="1" s="52">
      <c r="A8" s="92" t="n">
        <v>5</v>
      </c>
      <c r="B8" s="92" t="inlineStr">
        <is>
          <t>GD_WEB1</t>
        </is>
      </c>
      <c r="C8" s="92" t="inlineStr">
        <is>
          <t>Chức năng giao diện web (chỉ có UI)</t>
        </is>
      </c>
      <c r="D8" s="92" t="inlineStr">
        <is>
          <t>UI - WEB</t>
        </is>
      </c>
      <c r="E8" s="92" t="inlineStr">
        <is>
          <t>Dưới 10 Component
Component : là những hiển thị ra; case validate</t>
        </is>
      </c>
      <c r="F8" s="92" t="inlineStr">
        <is>
          <t>Tra cứu thông tin tài khoản Bankplus BCCS</t>
        </is>
      </c>
    </row>
    <row r="9" ht="15" customHeight="1" s="52">
      <c r="A9" s="92" t="n">
        <v>6</v>
      </c>
      <c r="B9" s="92" t="inlineStr">
        <is>
          <t>GD_WEB2</t>
        </is>
      </c>
      <c r="C9" s="92" t="inlineStr">
        <is>
          <t>Chức năng giao diện web 2 - Chỉ có UI</t>
        </is>
      </c>
      <c r="D9" s="92" t="inlineStr">
        <is>
          <t>UI - WEB</t>
        </is>
      </c>
      <c r="E9" s="92" t="inlineStr">
        <is>
          <t>Có 10-20 trường thông tin</t>
        </is>
      </c>
      <c r="F9" s="92" t="inlineStr">
        <is>
          <t>Giao diện đấu nối di động</t>
        </is>
      </c>
    </row>
    <row r="10" ht="15" customHeight="1" s="52">
      <c r="A10" s="92" t="n">
        <v>7</v>
      </c>
      <c r="B10" s="92" t="inlineStr">
        <is>
          <t>GD_WEB3</t>
        </is>
      </c>
      <c r="C10" s="92" t="inlineStr">
        <is>
          <t>Chức năng giao diện web 3 - chỉ có UI</t>
        </is>
      </c>
      <c r="D10" s="92" t="inlineStr">
        <is>
          <t>UI - WEB</t>
        </is>
      </c>
      <c r="E10" s="92" t="inlineStr">
        <is>
          <t>Có trên 20 trường thông tin</t>
        </is>
      </c>
      <c r="F10" s="92" t="inlineStr">
        <is>
          <t>Giao diện đấu nối cố định</t>
        </is>
      </c>
    </row>
    <row r="11" ht="34.5" customHeight="1" s="52">
      <c r="A11" s="92" t="n">
        <v>8</v>
      </c>
      <c r="B11" s="92" t="inlineStr">
        <is>
          <t>BC1</t>
        </is>
      </c>
      <c r="C11" s="92" t="inlineStr">
        <is>
          <t>Thiết kế báo cáo hàng cột đơn giản</t>
        </is>
      </c>
      <c r="D11" s="92" t="inlineStr">
        <is>
          <t>UI-Report</t>
        </is>
      </c>
      <c r="E11" s="92" t="inlineStr">
        <is>
          <t>Không sử dụng công thức trên hàng cột
Số lượng trường xuất ra trên báo cáo nhỏ hơn 10 trường</t>
        </is>
      </c>
      <c r="F11" s="92" t="inlineStr">
        <is>
          <t>Là việc sử dụng công cụ Birt design để thiết kế báo cáo dạng hàng cột. Phần câu lệnh query để tạo dataset được ước lượng riêng.</t>
        </is>
      </c>
    </row>
    <row r="12" ht="23.25" customHeight="1" s="52">
      <c r="A12" s="92" t="n">
        <v>9</v>
      </c>
      <c r="B12" s="92" t="inlineStr">
        <is>
          <t>BC2</t>
        </is>
      </c>
      <c r="C12" s="92" t="inlineStr">
        <is>
          <t>Thiết kế báo cáo hàng cột trung bình</t>
        </is>
      </c>
      <c r="D12" s="92" t="inlineStr">
        <is>
          <t>UI-Report</t>
        </is>
      </c>
      <c r="E12" s="92" t="inlineStr">
        <is>
          <t>Có sử dụng công thức trên hàng cột
Có số trường xuất ra từ 10 đến 20 trường</t>
        </is>
      </c>
      <c r="F12" s="92" t="n"/>
    </row>
    <row r="13" ht="15" customHeight="1" s="52">
      <c r="A13" s="92" t="n">
        <v>10</v>
      </c>
      <c r="B13" s="92" t="inlineStr">
        <is>
          <t>BC3</t>
        </is>
      </c>
      <c r="C13" s="92" t="inlineStr">
        <is>
          <t>Thiết kế báo cáo hàng cột phức tạp</t>
        </is>
      </c>
      <c r="D13" s="92" t="inlineStr">
        <is>
          <t>UI-Report</t>
        </is>
      </c>
      <c r="E13" s="92" t="inlineStr">
        <is>
          <t>Số lượng trường xuất ra  lớn hơn 20 trường</t>
        </is>
      </c>
      <c r="F13" s="92" t="n"/>
    </row>
    <row r="14" ht="15" customHeight="1" s="52">
      <c r="A14" s="92" t="n">
        <v>11</v>
      </c>
      <c r="B14" s="92" t="inlineStr">
        <is>
          <t>NVJ1-NC</t>
        </is>
      </c>
      <c r="C14" s="92" t="inlineStr">
        <is>
          <t>Xử lý nghiệp vụ đơn giản-nâng cấp</t>
        </is>
      </c>
      <c r="D14" s="92" t="inlineStr">
        <is>
          <t>SERVICE - JAVA</t>
        </is>
      </c>
      <c r="E14" s="92" t="inlineStr">
        <is>
          <t>Nghiệp vụ bổ sung nhỏ hơn 5 bước</t>
        </is>
      </c>
      <c r="F14" s="92" t="n"/>
    </row>
    <row r="15" ht="15" customHeight="1" s="52">
      <c r="A15" s="92" t="n">
        <v>12</v>
      </c>
      <c r="B15" s="92" t="inlineStr">
        <is>
          <t>NVJ2-NC</t>
        </is>
      </c>
      <c r="C15" s="92" t="inlineStr">
        <is>
          <t>Xử lý nghiệp vụ trung bình-nâng cấp</t>
        </is>
      </c>
      <c r="D15" s="92" t="inlineStr">
        <is>
          <t>SERVICE - JAVA</t>
        </is>
      </c>
      <c r="E15" s="92" t="inlineStr">
        <is>
          <t>Nghiệp vụ bổ sung từ 5 - 10 bước</t>
        </is>
      </c>
      <c r="F15" s="92" t="n"/>
    </row>
    <row r="16" ht="15" customHeight="1" s="52">
      <c r="A16" s="92" t="n">
        <v>13</v>
      </c>
      <c r="B16" s="92" t="inlineStr">
        <is>
          <t>NVJ3-NC</t>
        </is>
      </c>
      <c r="C16" s="92" t="inlineStr">
        <is>
          <t>Xử lý nghiệp vụ phức tạp - nâng cấp</t>
        </is>
      </c>
      <c r="D16" s="92" t="inlineStr">
        <is>
          <t>SERVICE - JAVA</t>
        </is>
      </c>
      <c r="E16" s="92" t="inlineStr">
        <is>
          <t>Nghiệp vụ lớn hơn 10 bước</t>
        </is>
      </c>
      <c r="F16" s="92" t="n"/>
    </row>
    <row r="17" ht="15" customHeight="1" s="52">
      <c r="A17" s="92" t="n">
        <v>14</v>
      </c>
      <c r="B17" s="92" t="inlineStr">
        <is>
          <t>DM1</t>
        </is>
      </c>
      <c r="C17" s="92" t="inlineStr">
        <is>
          <t>Danh mục từ điển</t>
        </is>
      </c>
      <c r="D17" s="92" t="inlineStr">
        <is>
          <t>SERVICE - JAVA</t>
        </is>
      </c>
      <c r="E17" s="92" t="inlineStr">
        <is>
          <t>Danh mục không có tham chiếu</t>
        </is>
      </c>
      <c r="F17" s="92" t="n"/>
    </row>
    <row r="18" ht="15" customHeight="1" s="52">
      <c r="A18" s="92" t="n">
        <v>15</v>
      </c>
      <c r="B18" s="92" t="inlineStr">
        <is>
          <t>DM2</t>
        </is>
      </c>
      <c r="C18" s="92" t="inlineStr">
        <is>
          <t>Danh mục có tham chiếu</t>
        </is>
      </c>
      <c r="D18" s="92" t="inlineStr">
        <is>
          <t>SERVICE - JAVA</t>
        </is>
      </c>
      <c r="E18" s="92" t="inlineStr">
        <is>
          <t>Danh mục có từ 1-3 tham chiếu</t>
        </is>
      </c>
      <c r="F18" s="92" t="n"/>
    </row>
    <row r="19" ht="15" customHeight="1" s="52">
      <c r="A19" s="92" t="n">
        <v>16</v>
      </c>
      <c r="B19" s="92" t="inlineStr">
        <is>
          <t>DM3</t>
        </is>
      </c>
      <c r="C19" s="92" t="inlineStr">
        <is>
          <t>Danh mục có tham chiếu</t>
        </is>
      </c>
      <c r="D19" s="92" t="inlineStr">
        <is>
          <t>SERVICE - JAVA</t>
        </is>
      </c>
      <c r="E19" s="92" t="inlineStr">
        <is>
          <t>Danh mục có trên 3 tham chiếu</t>
        </is>
      </c>
      <c r="F19" s="92" t="n"/>
    </row>
    <row r="20" ht="15" customHeight="1" s="52">
      <c r="A20" s="92" t="n">
        <v>17</v>
      </c>
      <c r="B20" s="92" t="inlineStr">
        <is>
          <t>GD_MOBILE1</t>
        </is>
      </c>
      <c r="C20" s="92" t="inlineStr">
        <is>
          <t>Giao diện - đơn giản</t>
        </is>
      </c>
      <c r="D20" s="92" t="inlineStr">
        <is>
          <t>UI - MOBILE</t>
        </is>
      </c>
      <c r="E20" s="92" t="inlineStr">
        <is>
          <t>&lt; 5 trường thông tin</t>
        </is>
      </c>
      <c r="F20" s="92" t="n"/>
    </row>
    <row r="21" ht="15" customHeight="1" s="52">
      <c r="A21" s="92" t="n">
        <v>18</v>
      </c>
      <c r="B21" s="92" t="inlineStr">
        <is>
          <t>GD_MOBILE2</t>
        </is>
      </c>
      <c r="C21" s="92" t="inlineStr">
        <is>
          <t>Giao diện - trung bình</t>
        </is>
      </c>
      <c r="D21" s="92" t="inlineStr">
        <is>
          <t>UI - MOBILE</t>
        </is>
      </c>
      <c r="E21" s="92" t="inlineStr">
        <is>
          <t>5-10 trường thông tin</t>
        </is>
      </c>
      <c r="F21" s="92" t="n"/>
    </row>
    <row r="22" ht="15" customHeight="1" s="52">
      <c r="A22" s="92" t="n">
        <v>19</v>
      </c>
      <c r="B22" s="92" t="inlineStr">
        <is>
          <t>GD_MOBILE3</t>
        </is>
      </c>
      <c r="C22" s="92" t="inlineStr">
        <is>
          <t>Giao diện - phức tạp</t>
        </is>
      </c>
      <c r="D22" s="92" t="inlineStr">
        <is>
          <t>UI - MOBILE</t>
        </is>
      </c>
      <c r="E22" s="92" t="inlineStr">
        <is>
          <t>&gt; 10 trường thông tin</t>
        </is>
      </c>
      <c r="F22" s="92" t="n"/>
    </row>
    <row r="23" ht="79.5" customHeight="1" s="52">
      <c r="A23" s="92" t="n">
        <v>20</v>
      </c>
      <c r="B23" s="92" t="inlineStr">
        <is>
          <t>CN_MOBILE Client1</t>
        </is>
      </c>
      <c r="C23" s="92" t="inlineStr">
        <is>
          <t>Chức năng Client- Đơn giản</t>
        </is>
      </c>
      <c r="D23" s="92" t="inlineStr">
        <is>
          <t>MOBILE</t>
        </is>
      </c>
      <c r="E23" s="92" t="inlineStr">
        <is>
          <t xml:space="preserve">
&lt; 5 trường thông tin
- Component hiển thị thông tin: 1 đơn vị giao diện
- Component nhập thông tin và xử lý thông tin: 2 đơn vị giao diện
- Component phải gọi API riêng để lấy dữ liệu và xử lý dữ liệu: 3 đơn vị giao diện
</t>
        </is>
      </c>
      <c r="F23" s="92" t="inlineStr">
        <is>
          <t>Trên giao diện của một chức năng có 1 Label, 2 textbox, 3 combobox (có gọi API để lấy dữ liệu) sẽ là: 1*1 + 2*2 + 3*3 = 12 trường thông tin</t>
        </is>
      </c>
    </row>
    <row r="24" ht="57" customHeight="1" s="52">
      <c r="A24" s="92" t="n">
        <v>21</v>
      </c>
      <c r="B24" s="92" t="inlineStr">
        <is>
          <t>CN_MOBILE Client2</t>
        </is>
      </c>
      <c r="C24" s="92" t="inlineStr">
        <is>
          <t>Chức năng Client- trung bình</t>
        </is>
      </c>
      <c r="D24" s="92" t="inlineStr">
        <is>
          <t>MOBILE</t>
        </is>
      </c>
      <c r="E24" s="92" t="inlineStr">
        <is>
          <t>5-10 trường thông tin
- Component hiển thị thông tin: 1 đơn vị giao diện
- Component nhập thông tin và xử lý thông tin: 2 đơn vị giao diện
- Component phải gọi API riêng để lấy dữ liệu và xử lý dữ liệu: 3 đơn vị giao diện</t>
        </is>
      </c>
      <c r="F24" s="92" t="inlineStr">
        <is>
          <t>Trên giao diện của một chức năng có 1 Label, 2 textbox, 3 combobox (có gọi API để lấy dữ liệu) sẽ là: 1*1 + 2*2 + 3*3 = 12 trường thông tin</t>
        </is>
      </c>
    </row>
    <row r="25" ht="68.25" customHeight="1" s="52">
      <c r="A25" s="92" t="n">
        <v>22</v>
      </c>
      <c r="B25" s="92" t="inlineStr">
        <is>
          <t>CN_MOBILE Client1-NC</t>
        </is>
      </c>
      <c r="C25" s="92" t="inlineStr">
        <is>
          <t>Chức năng Client- Đơn giản</t>
        </is>
      </c>
      <c r="D25" s="92" t="inlineStr">
        <is>
          <t>MOBILE</t>
        </is>
      </c>
      <c r="E25" s="92" t="inlineStr">
        <is>
          <t xml:space="preserve">&lt; 5 trường thông tin
- Component hiển thị thông tin: 1 đơn vị giao diện
- Component nhập thông tin và xử lý thông tin: 2 đơn vị giao diện
- Component phải gọi API riêng để lấy dữ liệu và xử lý dữ liệu: 3 đơn vị giao diện
</t>
        </is>
      </c>
      <c r="F25" s="92" t="inlineStr">
        <is>
          <t>Trên giao diện của một chức năng có 1 Label, 2 textbox, 3 combobox (có gọi API để lấy dữ liệu) sẽ là: 1*1 + 2*2 + 3*3 = 12 trường thông tin</t>
        </is>
      </c>
    </row>
    <row r="26" ht="57" customHeight="1" s="52">
      <c r="A26" s="92" t="n">
        <v>23</v>
      </c>
      <c r="B26" s="92" t="inlineStr">
        <is>
          <t>CN_MOBILE Client2_NC</t>
        </is>
      </c>
      <c r="C26" s="92" t="inlineStr">
        <is>
          <t>Chức năng Client NC- trung bình</t>
        </is>
      </c>
      <c r="D26" s="92" t="inlineStr">
        <is>
          <t>MOBILE</t>
        </is>
      </c>
      <c r="E26" s="92" t="inlineStr">
        <is>
          <t>5-10 trường thông tin
- Component hiển thị thông tin: 1 đơn vị giao diện
- Component nhập thông tin và xử lý thông tin: 2 đơn vị giao diện
- Component phải gọi API riêng để lấy dữ liệu và xử lý dữ liệu: 3 đơn vị giao diện</t>
        </is>
      </c>
      <c r="F26" s="92" t="inlineStr">
        <is>
          <t>Trên giao diện của một chức năng có 1 Label, 2 textbox, 3 combobox (có gọi API để lấy dữ liệu) sẽ là: 1*1 + 2*2 + 3*3 = 12 trường thông tin</t>
        </is>
      </c>
    </row>
    <row r="27" ht="57" customHeight="1" s="52">
      <c r="A27" s="92" t="n">
        <v>24</v>
      </c>
      <c r="B27" s="92" t="inlineStr">
        <is>
          <t>CN_MOBILE Client3-NC</t>
        </is>
      </c>
      <c r="C27" s="92" t="inlineStr">
        <is>
          <t>Chức năng Client- phức tạp</t>
        </is>
      </c>
      <c r="D27" s="92" t="inlineStr">
        <is>
          <t>MOBILE</t>
        </is>
      </c>
      <c r="E27" s="92" t="inlineStr">
        <is>
          <t>&gt; 10 trường thông tin
- Component hiển thị thông tin: 1 đơn vị giao diện
- Component nhập thông tin và xử lý thông tin: 2 đơn vị giao diện
- Component phải gọi API riêng để lấy dữ liệu và xử lý dữ liệu: 3 đơn vị giao diện</t>
        </is>
      </c>
      <c r="F27" s="92" t="inlineStr">
        <is>
          <t>Trên giao diện của một chức năng có 1 Label, 2 textbox, 3 combobox (có gọi API để lấy dữ liệu) sẽ là: 1*1 + 2*2 + 3*3 = 12 trường thông tin</t>
        </is>
      </c>
    </row>
    <row r="28" ht="57" customHeight="1" s="52">
      <c r="A28" s="92" t="n">
        <v>25</v>
      </c>
      <c r="B28" s="92" t="inlineStr">
        <is>
          <t>CN_MOBILE Client3</t>
        </is>
      </c>
      <c r="C28" s="92" t="inlineStr">
        <is>
          <t>Chức năng Client- phức tạp</t>
        </is>
      </c>
      <c r="D28" s="92" t="inlineStr">
        <is>
          <t>MOBILE</t>
        </is>
      </c>
      <c r="E28" s="92" t="inlineStr">
        <is>
          <t>&gt; 10 trường thông tin
- Component hiển thị thông tin: 1 đơn vị giao diện
- Component nhập thông tin và xử lý thông tin: 2 đơn vị giao diện
- Component phải gọi API riêng để lấy dữ liệu và xử lý dữ liệu: 3 đơn vị giao diện</t>
        </is>
      </c>
      <c r="F28" s="92" t="inlineStr">
        <is>
          <t>Trên giao diện của một chức năng có 1 Label, 2 textbox, 3 combobox (có gọi API để lấy dữ liệu) sẽ là: 1*1 + 2*2 + 3*3 = 12 trường thông tin</t>
        </is>
      </c>
    </row>
    <row r="29" ht="23.25" customHeight="1" s="52">
      <c r="A29" s="92" t="n">
        <v>26</v>
      </c>
      <c r="B29" s="92" t="inlineStr">
        <is>
          <t>CN_MOBILE Server1</t>
        </is>
      </c>
      <c r="C29" s="92" t="inlineStr">
        <is>
          <t>Chức năng Server- đơn giản</t>
        </is>
      </c>
      <c r="D29" s="92" t="inlineStr">
        <is>
          <t>MOBILE</t>
        </is>
      </c>
      <c r="E29" s="92" t="inlineStr">
        <is>
          <t>Nghiệp vụ nhỏ hơn 5 bước
Bước là 1 xử lý logic được mô tả trong tài liệu giải pháp</t>
        </is>
      </c>
      <c r="F29" s="92" t="n"/>
    </row>
    <row r="30" ht="15" customHeight="1" s="52">
      <c r="A30" s="92" t="n">
        <v>27</v>
      </c>
      <c r="B30" s="92" t="inlineStr">
        <is>
          <t>CN_MOBILE Server2</t>
        </is>
      </c>
      <c r="C30" s="92" t="inlineStr">
        <is>
          <t>Chức năng Server- trung bình</t>
        </is>
      </c>
      <c r="D30" s="92" t="inlineStr">
        <is>
          <t>MOBILE</t>
        </is>
      </c>
      <c r="E30" s="92" t="inlineStr">
        <is>
          <t>Nghiệp vụ từ 5 - 10 bước</t>
        </is>
      </c>
      <c r="F30" s="92" t="n"/>
    </row>
    <row r="31" ht="15" customHeight="1" s="52">
      <c r="A31" s="92" t="n">
        <v>28</v>
      </c>
      <c r="B31" s="92" t="inlineStr">
        <is>
          <t>CN_MOBILE Server3</t>
        </is>
      </c>
      <c r="C31" s="92" t="inlineStr">
        <is>
          <t>Chức năng Server- phức tạp</t>
        </is>
      </c>
      <c r="D31" s="92" t="inlineStr">
        <is>
          <t>MOBILE</t>
        </is>
      </c>
      <c r="E31" s="92" t="inlineStr">
        <is>
          <t>Nghiệp vụ lớn hơn 10 bước</t>
        </is>
      </c>
      <c r="F31" s="92" t="n"/>
    </row>
    <row r="32" ht="15" customHeight="1" s="52">
      <c r="A32" s="92" t="n">
        <v>29</v>
      </c>
      <c r="B32" s="92" t="inlineStr">
        <is>
          <t>GD1_CUT</t>
        </is>
      </c>
      <c r="C32" s="92" t="inlineStr">
        <is>
          <t>Cắt nghiệp vụ đơn giản</t>
        </is>
      </c>
      <c r="D32" s="92" t="inlineStr">
        <is>
          <t>HTML, CSS, JS</t>
        </is>
      </c>
      <c r="E32" s="92" t="inlineStr">
        <is>
          <t>Cắt giao diện chức năng đơn giản, màn hình &lt; 10 trường</t>
        </is>
      </c>
      <c r="F32" s="92" t="inlineStr">
        <is>
          <t>Màn hình chi tiết thông tin, màn hình tin tức</t>
        </is>
      </c>
    </row>
    <row r="33" ht="23.25" customHeight="1" s="52">
      <c r="A33" s="92" t="n">
        <v>30</v>
      </c>
      <c r="B33" s="92" t="inlineStr">
        <is>
          <t>GD2_CUT</t>
        </is>
      </c>
      <c r="C33" s="92" t="inlineStr">
        <is>
          <t>Cắt nghiệp vụ phức tạp</t>
        </is>
      </c>
      <c r="D33" s="92" t="inlineStr">
        <is>
          <t>HTML, CSS, JS</t>
        </is>
      </c>
      <c r="E33" s="92" t="inlineStr">
        <is>
          <t>Cắt giao diện phức tạp, cắt full toàn màn hình (menu, banner, bottom..)</t>
        </is>
      </c>
      <c r="F33" s="92" t="inlineStr">
        <is>
          <t>Màn hình home MyViettel wap</t>
        </is>
      </c>
    </row>
    <row r="34" ht="23.25" customHeight="1" s="52">
      <c r="A34" s="92" t="n">
        <v>31</v>
      </c>
      <c r="B34" s="92" t="inlineStr">
        <is>
          <t>CN_WEB1</t>
        </is>
      </c>
      <c r="C34" s="92" t="inlineStr">
        <is>
          <t>Chức năng web bao gồm UI + Service - đơn giản</t>
        </is>
      </c>
      <c r="D34" s="92" t="inlineStr">
        <is>
          <t>UI - WEB</t>
        </is>
      </c>
      <c r="E34" s="92" t="inlineStr">
        <is>
          <t>Dưới 10 component
Component : là những hiển thị ra; case validate</t>
        </is>
      </c>
      <c r="F34" s="92" t="n"/>
    </row>
    <row r="35" ht="23.25" customHeight="1" s="52">
      <c r="A35" s="92" t="n">
        <v>32</v>
      </c>
      <c r="B35" s="92" t="inlineStr">
        <is>
          <t>CN_WEB2</t>
        </is>
      </c>
      <c r="C35" s="92" t="inlineStr">
        <is>
          <t>Chức năng web bao gồm UI + Service - trung bình</t>
        </is>
      </c>
      <c r="D35" s="92" t="inlineStr">
        <is>
          <t>UI - WEB</t>
        </is>
      </c>
      <c r="E35" s="92" t="inlineStr">
        <is>
          <t>Có 10-20 trường thông tin</t>
        </is>
      </c>
      <c r="F35" s="92" t="n"/>
    </row>
    <row r="36" ht="23.25" customHeight="1" s="52">
      <c r="A36" s="92" t="n">
        <v>33</v>
      </c>
      <c r="B36" s="92" t="inlineStr">
        <is>
          <t>CN_WEB3</t>
        </is>
      </c>
      <c r="C36" s="92" t="inlineStr">
        <is>
          <t>Chức năng web bao gồm UI + Service - phức tạp</t>
        </is>
      </c>
      <c r="D36" s="92" t="inlineStr">
        <is>
          <t>UI - WEB</t>
        </is>
      </c>
      <c r="E36" s="92" t="inlineStr">
        <is>
          <t>Có hơn 20 trường thông tin</t>
        </is>
      </c>
      <c r="F36" s="92" t="n"/>
    </row>
    <row r="37" ht="15" customHeight="1" s="52">
      <c r="A37" s="92" t="n">
        <v>34</v>
      </c>
      <c r="B37" s="92" t="inlineStr">
        <is>
          <t>TT_DB1</t>
        </is>
      </c>
      <c r="C37" s="92" t="inlineStr">
        <is>
          <t>Tiến trình đồng bộ dữ liệu các hệ thống đơn giản</t>
        </is>
      </c>
      <c r="D37" s="92" t="inlineStr">
        <is>
          <t>TT</t>
        </is>
      </c>
      <c r="E37" s="92" t="inlineStr">
        <is>
          <t>Nghiệp vụ bổ sung nhỏ hơn 5 bước</t>
        </is>
      </c>
      <c r="F37" s="92" t="n"/>
    </row>
    <row r="38" ht="23.25" customHeight="1" s="52">
      <c r="A38" s="92" t="n">
        <v>35</v>
      </c>
      <c r="B38" s="92" t="inlineStr">
        <is>
          <t>TT_DB2</t>
        </is>
      </c>
      <c r="C38" s="92" t="inlineStr">
        <is>
          <t>Tiến trình đồng bộ dữ liệu các hệ thống trung bình</t>
        </is>
      </c>
      <c r="D38" s="92" t="inlineStr">
        <is>
          <t>TT</t>
        </is>
      </c>
      <c r="E38" s="92" t="inlineStr">
        <is>
          <t>Nghiệp vụ bổ sung từ 5 - 10 bước</t>
        </is>
      </c>
      <c r="F38" s="92" t="n"/>
    </row>
    <row r="39" ht="15" customHeight="1" s="52">
      <c r="A39" s="92" t="n">
        <v>36</v>
      </c>
      <c r="B39" s="92" t="inlineStr">
        <is>
          <t>TT_DB3</t>
        </is>
      </c>
      <c r="C39" s="92" t="inlineStr">
        <is>
          <t>Tiến trình đồng bộ dữ liệu các hệ thống phức tạp</t>
        </is>
      </c>
      <c r="D39" s="92" t="inlineStr">
        <is>
          <t>TT</t>
        </is>
      </c>
      <c r="E39" s="92" t="inlineStr">
        <is>
          <t>Nghiệp vụ lớn hơn 10 bước</t>
        </is>
      </c>
      <c r="F39" s="92" t="n"/>
    </row>
    <row r="40" ht="23.25" customHeight="1" s="52">
      <c r="A40" s="92" t="n">
        <v>37</v>
      </c>
      <c r="B40" s="92" t="inlineStr">
        <is>
          <t>XML1</t>
        </is>
      </c>
      <c r="C40" s="92" t="inlineStr">
        <is>
          <t>Xử lý text có cú pháp, như XML/JSON/YAML đơn giản</t>
        </is>
      </c>
      <c r="D40" s="92" t="inlineStr">
        <is>
          <t>XML</t>
        </is>
      </c>
      <c r="E40" s="92" t="inlineStr">
        <is>
          <t>Bản tin &lt;10 trường thông tin</t>
        </is>
      </c>
      <c r="F40" s="92" t="n"/>
    </row>
    <row r="41" ht="23.25" customHeight="1" s="52">
      <c r="A41" s="92" t="n">
        <v>38</v>
      </c>
      <c r="B41" s="92" t="inlineStr">
        <is>
          <t>XML2</t>
        </is>
      </c>
      <c r="C41" s="92" t="inlineStr">
        <is>
          <t>Xử lý text có cú pháp, như XML/JSON/YAML trung bình</t>
        </is>
      </c>
      <c r="D41" s="92" t="inlineStr">
        <is>
          <t>XML</t>
        </is>
      </c>
      <c r="E41" s="92" t="inlineStr">
        <is>
          <t>Bản tin từ 10 -20 trường thông tin</t>
        </is>
      </c>
      <c r="F41" s="92" t="n"/>
    </row>
    <row r="42" ht="23.25" customHeight="1" s="52">
      <c r="A42" s="92" t="n">
        <v>39</v>
      </c>
      <c r="B42" s="92" t="inlineStr">
        <is>
          <t>XML3</t>
        </is>
      </c>
      <c r="C42" s="92" t="inlineStr">
        <is>
          <t>Xử lý text có cú pháp, như XML/JSON/YAML phức tạp</t>
        </is>
      </c>
      <c r="D42" s="92" t="inlineStr">
        <is>
          <t>XML</t>
        </is>
      </c>
      <c r="E42" s="92" t="inlineStr">
        <is>
          <t>Bản tin &gt; 20 trường thông tin</t>
        </is>
      </c>
      <c r="F42" s="92" t="n"/>
    </row>
    <row r="43" ht="15" customHeight="1" s="52">
      <c r="A43" s="92" t="n">
        <v>40</v>
      </c>
      <c r="B43" s="92" t="inlineStr">
        <is>
          <t>FW_GSM1</t>
        </is>
      </c>
      <c r="C43" s="92" t="inlineStr">
        <is>
          <t>Lập trình firmware cho khối GSM đơn giản</t>
        </is>
      </c>
      <c r="D43" s="92" t="inlineStr">
        <is>
          <t>Firmware</t>
        </is>
      </c>
      <c r="E43" s="92" t="inlineStr">
        <is>
          <t>Chỉ gồm chức năng nhắn tin, gọi điện</t>
        </is>
      </c>
      <c r="F43" s="92" t="n"/>
    </row>
    <row r="44" ht="15" customHeight="1" s="52">
      <c r="A44" s="92" t="n">
        <v>41</v>
      </c>
      <c r="B44" s="92" t="inlineStr">
        <is>
          <t>FW_GSM2</t>
        </is>
      </c>
      <c r="C44" s="92" t="inlineStr">
        <is>
          <t>Lập trình firmware cho khối GSM trung bình</t>
        </is>
      </c>
      <c r="D44" s="92" t="inlineStr">
        <is>
          <t>Firmware</t>
        </is>
      </c>
      <c r="E44" s="92" t="inlineStr">
        <is>
          <t>Gồm các chức năng nhắn tin, gọi điện và TCP/IP</t>
        </is>
      </c>
      <c r="F44" s="92" t="n"/>
    </row>
    <row r="45" ht="15" customHeight="1" s="52">
      <c r="A45" s="92" t="n">
        <v>42</v>
      </c>
      <c r="B45" s="92" t="inlineStr">
        <is>
          <t>FW_GSM3</t>
        </is>
      </c>
      <c r="C45" s="92" t="inlineStr">
        <is>
          <t>Lập trình firmware cho khối GSM phức tạp</t>
        </is>
      </c>
      <c r="D45" s="92" t="inlineStr">
        <is>
          <t>Firmware</t>
        </is>
      </c>
      <c r="E45" s="92" t="inlineStr">
        <is>
          <t>Gồm các chức năng nhắn tin, gọi điện, TCP/IP, UDP và FTP</t>
        </is>
      </c>
      <c r="F45" s="92" t="n"/>
    </row>
    <row r="46" ht="15" customHeight="1" s="52">
      <c r="A46" s="92" t="n">
        <v>43</v>
      </c>
      <c r="B46" s="92" t="inlineStr">
        <is>
          <t>FW_SSL1</t>
        </is>
      </c>
      <c r="C46" s="92" t="inlineStr">
        <is>
          <t>Lập trình firmware cho SSL đơn giản</t>
        </is>
      </c>
      <c r="D46" s="92" t="inlineStr">
        <is>
          <t>Firmware</t>
        </is>
      </c>
      <c r="E46" s="92" t="inlineStr">
        <is>
          <t>Server xác thực thiết bị</t>
        </is>
      </c>
      <c r="F46" s="92" t="n"/>
    </row>
    <row r="47" ht="15" customHeight="1" s="52">
      <c r="A47" s="92" t="n">
        <v>44</v>
      </c>
      <c r="B47" s="92" t="inlineStr">
        <is>
          <t>FW_SSL2</t>
        </is>
      </c>
      <c r="C47" s="92" t="inlineStr">
        <is>
          <t>Lập trình firmware cho SSL trung bình</t>
        </is>
      </c>
      <c r="D47" s="92" t="inlineStr">
        <is>
          <t>Firmware</t>
        </is>
      </c>
      <c r="E47" s="92" t="inlineStr">
        <is>
          <t>Thiết bị xác thực server</t>
        </is>
      </c>
      <c r="F47" s="92" t="n"/>
    </row>
    <row r="48" ht="15" customHeight="1" s="52">
      <c r="A48" s="92" t="n">
        <v>45</v>
      </c>
      <c r="B48" s="92" t="inlineStr">
        <is>
          <t>FW_SSL3</t>
        </is>
      </c>
      <c r="C48" s="92" t="inlineStr">
        <is>
          <t>Lập trình firmware cho SSL phức tạp</t>
        </is>
      </c>
      <c r="D48" s="92" t="inlineStr">
        <is>
          <t>Firmware</t>
        </is>
      </c>
      <c r="E48" s="92" t="inlineStr">
        <is>
          <t>Cả server và thiết bị phải xác thực lẫn nhau</t>
        </is>
      </c>
      <c r="F48" s="92" t="n"/>
    </row>
    <row r="49" ht="15" customHeight="1" s="52">
      <c r="A49" s="92" t="n">
        <v>46</v>
      </c>
      <c r="B49" s="92" t="inlineStr">
        <is>
          <t>FW_ADC1</t>
        </is>
      </c>
      <c r="C49" s="92" t="inlineStr">
        <is>
          <t>Lập trình firmware đo ADC đơn giản</t>
        </is>
      </c>
      <c r="D49" s="92" t="inlineStr">
        <is>
          <t>Firmware</t>
        </is>
      </c>
      <c r="E49" s="92" t="inlineStr">
        <is>
          <t>Chỉ đo điện áp đơn giản để gửi lên server</t>
        </is>
      </c>
      <c r="F49" s="92" t="n"/>
    </row>
    <row r="50" ht="15" customHeight="1" s="52">
      <c r="A50" s="92" t="n">
        <v>47</v>
      </c>
      <c r="B50" s="92" t="inlineStr">
        <is>
          <t>FW_ADC2</t>
        </is>
      </c>
      <c r="C50" s="92" t="inlineStr">
        <is>
          <t>Lập trình firmware đo ADC trung bình</t>
        </is>
      </c>
      <c r="D50" s="92" t="inlineStr">
        <is>
          <t>Firmware</t>
        </is>
      </c>
      <c r="E50" s="92" t="inlineStr">
        <is>
          <t>Đo điện áp, cài đặt lưu ngưỡng quá áp</t>
        </is>
      </c>
      <c r="F50" s="92" t="n"/>
    </row>
    <row r="51" ht="23.25" customHeight="1" s="52">
      <c r="A51" s="92" t="n">
        <v>48</v>
      </c>
      <c r="B51" s="92" t="inlineStr">
        <is>
          <t>FW_ADC3</t>
        </is>
      </c>
      <c r="C51" s="92" t="inlineStr">
        <is>
          <t>Lập trình firmware đo ADC phức tạp</t>
        </is>
      </c>
      <c r="D51" s="92" t="inlineStr">
        <is>
          <t>Firmware</t>
        </is>
      </c>
      <c r="E51" s="92" t="inlineStr">
        <is>
          <t>Đo điện áp, cài đặt lưu ngưỡng quá áp, khi quá áp thì phát cảnh bảo và gửi dữ liệu lên server</t>
        </is>
      </c>
      <c r="F51" s="92" t="n"/>
    </row>
    <row r="52" ht="23.25" customHeight="1" s="52">
      <c r="A52" s="92" t="n">
        <v>49</v>
      </c>
      <c r="B52" s="92" t="inlineStr">
        <is>
          <t>CSI_NORMAL_1</t>
        </is>
      </c>
      <c r="C52" s="92" t="inlineStr">
        <is>
          <t>CSI phổ thông (Camera, cầu truyền hình, IPNetwork, Hạ tầng) mức đơn giản</t>
        </is>
      </c>
      <c r="D52" s="92" t="inlineStr">
        <is>
          <t>CSI</t>
        </is>
      </c>
      <c r="E52" s="92" t="inlineStr">
        <is>
          <t>Tại 1 site khách hàng (1 văn phòng, 1 xã)</t>
        </is>
      </c>
      <c r="F52" s="92" t="n"/>
    </row>
    <row r="53" ht="23.25" customHeight="1" s="52">
      <c r="A53" s="92" t="n">
        <v>50</v>
      </c>
      <c r="B53" s="92" t="inlineStr">
        <is>
          <t>CSI_NORMAL_2</t>
        </is>
      </c>
      <c r="C53" s="92" t="inlineStr">
        <is>
          <t>CSI phổ thông (Camera, cầu truyền hình, IPNetwork, Hạ tầng) mức trung bình</t>
        </is>
      </c>
      <c r="D53" s="92" t="inlineStr">
        <is>
          <t>CSI</t>
        </is>
      </c>
      <c r="E53" s="92" t="inlineStr">
        <is>
          <t>Tại nhiều site khách hàng (Nhiều phòng, mức huyện)</t>
        </is>
      </c>
      <c r="F53" s="92" t="n"/>
    </row>
    <row r="54" ht="23.25" customHeight="1" s="52">
      <c r="A54" s="92" t="n">
        <v>51</v>
      </c>
      <c r="B54" s="92" t="inlineStr">
        <is>
          <t>CSI_NORMAL_3</t>
        </is>
      </c>
      <c r="C54" s="92" t="inlineStr">
        <is>
          <t>CSI phổ thông (Camera, cầu truyền hình, IPNetwork, Hạ tầng) mức phức tạp</t>
        </is>
      </c>
      <c r="D54" s="92" t="inlineStr">
        <is>
          <t>CSI</t>
        </is>
      </c>
      <c r="E54" s="92" t="inlineStr">
        <is>
          <t>Phạm vi diện rộng mức tỉnh, toàn quốc</t>
        </is>
      </c>
      <c r="F54" s="92" t="n"/>
    </row>
    <row r="55" ht="15" customHeight="1" s="52">
      <c r="A55" s="92" t="n">
        <v>52</v>
      </c>
      <c r="B55" s="92" t="inlineStr">
        <is>
          <t>DV_TABLEAU_CHART</t>
        </is>
      </c>
      <c r="C55" s="92" t="inlineStr">
        <is>
          <t>Thiết kế biểu đồ tableau</t>
        </is>
      </c>
      <c r="D55" s="92" t="inlineStr">
        <is>
          <t>Data Visualization</t>
        </is>
      </c>
      <c r="E55" s="92" t="inlineStr">
        <is>
          <t>Dimension và measure và tooltip, Chỉ sử dụng biểu đồ có sẵn,</t>
        </is>
      </c>
      <c r="F55" s="92" t="n"/>
    </row>
    <row r="56" ht="23.25" customHeight="1" s="52">
      <c r="A56" s="92" t="n">
        <v>53</v>
      </c>
      <c r="B56" s="92" t="inlineStr">
        <is>
          <t>DV_TABLEAU_DASHBOARD1</t>
        </is>
      </c>
      <c r="C56" s="92" t="inlineStr">
        <is>
          <t>Thiết kế dashboard đơn giản</t>
        </is>
      </c>
      <c r="D56" s="92" t="inlineStr">
        <is>
          <t>Data Visualization</t>
        </is>
      </c>
      <c r="E56" s="92" t="inlineStr">
        <is>
          <t>Không có hiệu ứng ( Không link. Không highlight, …)</t>
        </is>
      </c>
      <c r="F56" s="92" t="n"/>
    </row>
    <row r="57" ht="23.25" customHeight="1" s="52">
      <c r="A57" s="92" t="n">
        <v>54</v>
      </c>
      <c r="B57" s="92" t="inlineStr">
        <is>
          <t>DV_TABLEAU_DASHBOARD2</t>
        </is>
      </c>
      <c r="C57" s="92" t="inlineStr">
        <is>
          <t>Thiết kế dashboard trung bình</t>
        </is>
      </c>
      <c r="D57" s="92" t="inlineStr">
        <is>
          <t>Data Visualization</t>
        </is>
      </c>
      <c r="E57" s="92" t="inlineStr">
        <is>
          <t>Có hiệu ứng ( Có link. Có highlight, …).</t>
        </is>
      </c>
      <c r="F57" s="92" t="inlineStr">
        <is>
          <t>Nghiên cứu cho vào task phi chức năng</t>
        </is>
      </c>
    </row>
    <row r="58" ht="15" customHeight="1" s="52">
      <c r="A58" s="92" t="n">
        <v>55</v>
      </c>
      <c r="B58" s="92" t="inlineStr">
        <is>
          <t>DP_IMP1</t>
        </is>
      </c>
      <c r="C58" s="92" t="inlineStr">
        <is>
          <t>Đồng bộ dữ liệu đơn giản</t>
        </is>
      </c>
      <c r="D58" s="92" t="inlineStr">
        <is>
          <t>Data Ingestion</t>
        </is>
      </c>
      <c r="E58" s="92" t="inlineStr">
        <is>
          <t>&lt; 10 trường thông tin hoặc dung lượng &lt; 1GB  hoặc &lt;= 2 nguồn</t>
        </is>
      </c>
      <c r="F58" s="92" t="inlineStr">
        <is>
          <t>Hoặc theo số nguồn</t>
        </is>
      </c>
    </row>
    <row r="59" ht="23.25" customHeight="1" s="52">
      <c r="A59" s="92" t="n">
        <v>56</v>
      </c>
      <c r="B59" s="92" t="inlineStr">
        <is>
          <t>DP_IMP2</t>
        </is>
      </c>
      <c r="C59" s="92" t="inlineStr">
        <is>
          <t>Đồng bộ dữ liệu trung bình</t>
        </is>
      </c>
      <c r="D59" s="92" t="inlineStr">
        <is>
          <t>Data Ingestion</t>
        </is>
      </c>
      <c r="E59" s="92" t="inlineStr">
        <is>
          <t>10-30 trường thông tin hoặc dung lượng từ 1-3GB hoặc từ 2 -5 nguồn</t>
        </is>
      </c>
      <c r="F59" s="92" t="n"/>
    </row>
    <row r="60" ht="23.25" customHeight="1" s="52">
      <c r="A60" s="92" t="n">
        <v>57</v>
      </c>
      <c r="B60" s="92" t="inlineStr">
        <is>
          <t>DP_IMP3</t>
        </is>
      </c>
      <c r="C60" s="92" t="inlineStr">
        <is>
          <t>Đồng bộ dữ liệu phức tạp</t>
        </is>
      </c>
      <c r="D60" s="92" t="inlineStr">
        <is>
          <t>Data Ingestion</t>
        </is>
      </c>
      <c r="E60" s="92" t="inlineStr">
        <is>
          <t>&gt; 30 trường thông tin hoặc dung lượng &gt;3GB hoặc từ 5 nguồn trở lên</t>
        </is>
      </c>
      <c r="F60" s="92" t="n"/>
    </row>
    <row r="61" ht="15" customHeight="1" s="52">
      <c r="A61" s="92" t="n">
        <v>58</v>
      </c>
      <c r="B61" s="92" t="inlineStr">
        <is>
          <t>DP_AGG1</t>
        </is>
      </c>
      <c r="C61" s="92" t="inlineStr">
        <is>
          <t>Tổng hợp dữ liệu đơn giản</t>
        </is>
      </c>
      <c r="D61" s="92" t="inlineStr">
        <is>
          <t>Data process</t>
        </is>
      </c>
      <c r="E61" s="92" t="inlineStr">
        <is>
          <t>&lt; 10 trường thông tin hoặc dung lượng &lt; 1GB hoặc &lt;= 2 bước</t>
        </is>
      </c>
      <c r="F61" s="92" t="inlineStr">
        <is>
          <t>Thêm số bước</t>
        </is>
      </c>
    </row>
    <row r="62" ht="23.25" customHeight="1" s="52">
      <c r="A62" s="92" t="n">
        <v>59</v>
      </c>
      <c r="B62" s="92" t="inlineStr">
        <is>
          <t>DP_AGG2</t>
        </is>
      </c>
      <c r="C62" s="92" t="inlineStr">
        <is>
          <t>Tổng hợp dữ liệu trung bình</t>
        </is>
      </c>
      <c r="D62" s="92" t="inlineStr">
        <is>
          <t>Data process</t>
        </is>
      </c>
      <c r="E62" s="92" t="inlineStr">
        <is>
          <t>10-30 trường thông tin hoặc dung lượng từ 1-3GB hoặc từ 2 -5 bước</t>
        </is>
      </c>
      <c r="F62" s="92" t="n"/>
    </row>
    <row r="63" ht="15" customHeight="1" s="52">
      <c r="A63" s="92" t="n">
        <v>60</v>
      </c>
      <c r="B63" s="92" t="inlineStr">
        <is>
          <t>DP_AGG3</t>
        </is>
      </c>
      <c r="C63" s="92" t="inlineStr">
        <is>
          <t>Tổng hợp dữ liệu phức tạp</t>
        </is>
      </c>
      <c r="D63" s="92" t="inlineStr">
        <is>
          <t>Data process</t>
        </is>
      </c>
      <c r="E63" s="92" t="inlineStr">
        <is>
          <t>&gt; 30 trường thông tin hoặc dung lượng &gt;3GB hoặc từ 5 bước trở lên</t>
        </is>
      </c>
      <c r="F63" s="92" t="n"/>
    </row>
    <row r="64" ht="15" customHeight="1" s="52">
      <c r="A64" s="92" t="n">
        <v>61</v>
      </c>
      <c r="B64" s="92" t="inlineStr">
        <is>
          <t>DP_EXP1</t>
        </is>
      </c>
      <c r="C64" s="92" t="inlineStr">
        <is>
          <t>Xuất dữ liệu đơn giản</t>
        </is>
      </c>
      <c r="D64" s="92" t="inlineStr">
        <is>
          <t>Data process</t>
        </is>
      </c>
      <c r="E64" s="92" t="inlineStr">
        <is>
          <t xml:space="preserve">&lt; 10 trường thông tin hoặc dung lượng &lt; 1GB </t>
        </is>
      </c>
      <c r="F64" s="92" t="inlineStr">
        <is>
          <t>Mỗi step trong job là 1 bước</t>
        </is>
      </c>
    </row>
    <row r="65" ht="15" customHeight="1" s="52">
      <c r="A65" s="92" t="n">
        <v>62</v>
      </c>
      <c r="B65" s="92" t="inlineStr">
        <is>
          <t>DATA_SUPPORT1</t>
        </is>
      </c>
      <c r="C65" s="92" t="inlineStr">
        <is>
          <t>Khai thác dữ liệu loại đơn giản</t>
        </is>
      </c>
      <c r="D65" s="92" t="inlineStr">
        <is>
          <t>SQL</t>
        </is>
      </c>
      <c r="E65" s="92" t="inlineStr">
        <is>
          <t>&lt; 10 trường thông tin hoặc dung lượng &lt; 1GB hoặc &lt;= 2 bước</t>
        </is>
      </c>
      <c r="F65" s="92" t="n"/>
    </row>
    <row r="66" ht="23.25" customHeight="1" s="52">
      <c r="A66" s="92" t="n">
        <v>63</v>
      </c>
      <c r="B66" s="92" t="inlineStr">
        <is>
          <t>DATA_SUPPORT2</t>
        </is>
      </c>
      <c r="C66" s="92" t="inlineStr">
        <is>
          <t>Khai thác dữ liệu loại phức tạp</t>
        </is>
      </c>
      <c r="D66" s="92" t="inlineStr">
        <is>
          <t>SQL</t>
        </is>
      </c>
      <c r="E66" s="92" t="inlineStr">
        <is>
          <t>10-30 trường thông tin hoặc dung lượng từ 1-3GB hoặc từ 2 -5 bước</t>
        </is>
      </c>
      <c r="F66" s="92" t="n"/>
    </row>
    <row r="67" ht="15" customHeight="1" s="52">
      <c r="A67" s="92" t="n">
        <v>64</v>
      </c>
      <c r="B67" s="92" t="inlineStr">
        <is>
          <t>DATA_SUPPORT3</t>
        </is>
      </c>
      <c r="C67" s="92" t="inlineStr">
        <is>
          <t>Khai thác dữ liệu loại đặc biệt</t>
        </is>
      </c>
      <c r="D67" s="92" t="inlineStr">
        <is>
          <t>SQL</t>
        </is>
      </c>
      <c r="E67" s="92" t="inlineStr">
        <is>
          <t>&gt; 30 trường thông tin hoặc dung lượng &gt;3GB hoặc từ 5 bước trở lên</t>
        </is>
      </c>
      <c r="F67" s="92" t="n"/>
    </row>
    <row r="68" ht="45.75" customHeight="1" s="52">
      <c r="A68" s="92" t="n">
        <v>65</v>
      </c>
      <c r="B68" s="92" t="inlineStr">
        <is>
          <t>WRITE_TC_WEB_1</t>
        </is>
      </c>
      <c r="C68" s="92" t="inlineStr">
        <is>
          <t>Testcase web</t>
        </is>
      </c>
      <c r="D68" s="92" t="n"/>
      <c r="E68" s="92" t="inlineStr">
        <is>
          <t>Testcase có mức độ phức tạp = Đơn giản:
- Viết mới testcase cho hệ thống webservice, tiến trình, web (có 1 màn hình nhập liệu). 
- Số lượng bảng tương tác &lt; 10 bảng</t>
        </is>
      </c>
      <c r="F68" s="92" t="n"/>
    </row>
    <row r="69" ht="45.75" customHeight="1" s="52">
      <c r="A69" s="92" t="n">
        <v>66</v>
      </c>
      <c r="B69" s="92" t="inlineStr">
        <is>
          <t>WRITE_TC_WEB_2</t>
        </is>
      </c>
      <c r="C69" s="92" t="inlineStr">
        <is>
          <t>Testcase web</t>
        </is>
      </c>
      <c r="D69" s="92" t="n"/>
      <c r="E69" s="92" t="inlineStr">
        <is>
          <t>Testcase có mức độ phức tạp = Trung bình:
- Viết mới testcase cho hệ thống webservice, tiến trình, web (có &gt; 1 đến 3 màn hình nhập liệu). 
- Số lượng bảng tương tác &gt;= 10 bảng</t>
        </is>
      </c>
      <c r="F69" s="92" t="n"/>
    </row>
    <row r="70" ht="45.75" customHeight="1" s="52">
      <c r="A70" s="92" t="n">
        <v>67</v>
      </c>
      <c r="B70" s="92" t="inlineStr">
        <is>
          <t>WRITE_TC_WEB_3</t>
        </is>
      </c>
      <c r="C70" s="92" t="inlineStr">
        <is>
          <t>Testcase web</t>
        </is>
      </c>
      <c r="D70" s="92" t="n"/>
      <c r="E70" s="92" t="inlineStr">
        <is>
          <t>Testcase có mức độ phức tạp = Phức tạp:
- Viết mới testcase cho hệ thống webservice, tiến trình, web (có &gt; 3 màn hình nhập liệu). 
- Số lượng bảng tương tác &gt;= 10 bảng</t>
        </is>
      </c>
      <c r="F70" s="92" t="n"/>
    </row>
    <row r="71" ht="45.75" customHeight="1" s="52">
      <c r="A71" s="92" t="n">
        <v>68</v>
      </c>
      <c r="B71" s="92" t="inlineStr">
        <is>
          <t>WRITE_TC_MOBILE_ANDROID_1</t>
        </is>
      </c>
      <c r="C71" s="92" t="inlineStr">
        <is>
          <t xml:space="preserve">Testcase android </t>
        </is>
      </c>
      <c r="D71" s="92" t="n"/>
      <c r="E71" s="92" t="inlineStr">
        <is>
          <t>Testcase viết cho hệ điều hành android có mức độ phức tạp = Đơn giản:
- Viết mới testcase cho hệ thống mobile trên hệ điều hành android, test case chỉ nhập liệu trên 1 màn hình</t>
        </is>
      </c>
      <c r="F71" s="92" t="n"/>
    </row>
    <row r="72" ht="45.75" customHeight="1" s="52">
      <c r="A72" s="92" t="n">
        <v>69</v>
      </c>
      <c r="B72" s="92" t="inlineStr">
        <is>
          <t>WRITE_TC_MOBILE_ANDROID_2</t>
        </is>
      </c>
      <c r="C72" s="92" t="inlineStr">
        <is>
          <t xml:space="preserve">Testcase  android  </t>
        </is>
      </c>
      <c r="D72" s="92" t="n"/>
      <c r="E72" s="92" t="inlineStr">
        <is>
          <t>Testcase viết cho hệ điều hành android  có mức độ phức tạp = Trung bình:
- Viết mới testcase cho hệ thống mobile trên hệ điều hành android, test case chỉ nhập liệu từ 1 đến 3 màn hình</t>
        </is>
      </c>
      <c r="F72" s="92" t="n"/>
    </row>
    <row r="73" ht="45.75" customHeight="1" s="52">
      <c r="A73" s="92" t="n">
        <v>70</v>
      </c>
      <c r="B73" s="92" t="inlineStr">
        <is>
          <t>WRITE_TC_MOBILE_ANDROID_3</t>
        </is>
      </c>
      <c r="C73" s="92" t="inlineStr">
        <is>
          <t>Testcase android</t>
        </is>
      </c>
      <c r="D73" s="92" t="n"/>
      <c r="E73" s="92" t="inlineStr">
        <is>
          <t>Testcase viết cho hệ điều hành android có mức độ phức tạp = Phức tạp:
- Viết mới testcase cho hệ thống mobile trên hệ điều hành android, test case chỉ nhập liệu trên 3 màn hình</t>
        </is>
      </c>
      <c r="F73" s="92" t="n"/>
    </row>
    <row r="74" ht="34.5" customHeight="1" s="52">
      <c r="A74" s="92" t="n">
        <v>71</v>
      </c>
      <c r="B74" s="92" t="inlineStr">
        <is>
          <t>WRITE_TC_MOBILE_IOS_1</t>
        </is>
      </c>
      <c r="C74" s="92" t="inlineStr">
        <is>
          <t xml:space="preserve">Testcase  iOS </t>
        </is>
      </c>
      <c r="D74" s="92" t="n"/>
      <c r="E74" s="92" t="inlineStr">
        <is>
          <t>Testcase viết cho hệ điều hành iOS có mức độ phức tạp = Đơn giản:
- Viết mới testcase cho hệ thống mobile trên hệ điều hành iOS, testcase chỉ nhập liệu trên 1 màn hình</t>
        </is>
      </c>
      <c r="F74" s="92" t="n"/>
    </row>
    <row r="75" ht="34.5" customHeight="1" s="52">
      <c r="A75" s="92" t="n">
        <v>72</v>
      </c>
      <c r="B75" s="92" t="inlineStr">
        <is>
          <t>WRITE_TC_MOBILE_IOS_2</t>
        </is>
      </c>
      <c r="C75" s="92" t="inlineStr">
        <is>
          <t xml:space="preserve">Testcase  iOS </t>
        </is>
      </c>
      <c r="D75" s="92" t="n"/>
      <c r="E75" s="92" t="inlineStr">
        <is>
          <t>Testcase có mức độ phức tạp = Trung bình:
- Viết mới testcase cho hệ thống mobile trên hệ điều hành iOS, testcase chỉ nhập liệu từ 1 đến 3 màn hình</t>
        </is>
      </c>
      <c r="F75" s="92" t="n"/>
    </row>
    <row r="76" ht="34.5" customHeight="1" s="52">
      <c r="A76" s="92" t="n">
        <v>73</v>
      </c>
      <c r="B76" s="92" t="inlineStr">
        <is>
          <t>WRITE_TC_MOBILE_IOS_3</t>
        </is>
      </c>
      <c r="C76" s="92" t="inlineStr">
        <is>
          <t xml:space="preserve">Testcase  iOS </t>
        </is>
      </c>
      <c r="D76" s="92" t="n"/>
      <c r="E76" s="92" t="inlineStr">
        <is>
          <t>Testcase có mức độ phức tạp = Phức tạp:
- Viết mới testcase cho hệ thống mobile trên hệ điều hành iOS, testcase chỉ nhập liệu từ 1 đến 3 màn hình</t>
        </is>
      </c>
      <c r="F76" s="92" t="n"/>
    </row>
    <row r="77" ht="34.5" customHeight="1" s="52">
      <c r="A77" s="92" t="n">
        <v>74</v>
      </c>
      <c r="B77" s="92" t="inlineStr">
        <is>
          <t>RUN_WEB_3</t>
        </is>
      </c>
      <c r="C77" s="92" t="inlineStr">
        <is>
          <t>Chạy auto test web</t>
        </is>
      </c>
      <c r="D77" s="92" t="n"/>
      <c r="E77" s="92" t="inlineStr">
        <is>
          <t>- Mô tả: Thời gian hoàn thành chạy Automation test cho hệ thống web, webservice, tiến trình từ trên 200 testcase
- Thời gian thực hiện: 16h</t>
        </is>
      </c>
      <c r="F77" s="92" t="n"/>
    </row>
    <row r="78" ht="34.5" customHeight="1" s="52">
      <c r="A78" s="92" t="n">
        <v>75</v>
      </c>
      <c r="B78" s="92" t="inlineStr">
        <is>
          <t>RUN_MOBILE_ANDROID_1</t>
        </is>
      </c>
      <c r="C78" s="92" t="inlineStr">
        <is>
          <t>Chạy auto test Mobile Android</t>
        </is>
      </c>
      <c r="D78" s="92" t="n"/>
      <c r="E78" s="92" t="inlineStr">
        <is>
          <t>- Mô tả: Thời gian hoàn thành chạy Automation test cho hệ thống mobile trên platform Android, dưới 100 testcase
- Thời gian thực hiện: 8h</t>
        </is>
      </c>
      <c r="F78" s="92" t="n"/>
    </row>
    <row r="79" ht="34.5" customHeight="1" s="52">
      <c r="A79" s="92" t="n">
        <v>76</v>
      </c>
      <c r="B79" s="92" t="inlineStr">
        <is>
          <t>RUN_MOBILE_ANDROID_2</t>
        </is>
      </c>
      <c r="C79" s="92" t="inlineStr">
        <is>
          <t>Chạy auto test Mobile Android</t>
        </is>
      </c>
      <c r="D79" s="92" t="n"/>
      <c r="E79" s="92" t="inlineStr">
        <is>
          <t>- Mô tả: Thời gian hoàn thành chạy Automation test cho hệ thống mobile trên platform Android, từ 100 đến 200 testcase
- Thời gian thực hiện: 12h</t>
        </is>
      </c>
      <c r="F79" s="92" t="n"/>
    </row>
    <row r="80" ht="34.5" customHeight="1" s="52">
      <c r="A80" s="92" t="n">
        <v>77</v>
      </c>
      <c r="B80" s="92" t="inlineStr">
        <is>
          <t>RUN_MOBILE_ANDROID_3</t>
        </is>
      </c>
      <c r="C80" s="92" t="inlineStr">
        <is>
          <t>Chạy auto test Mobile Android</t>
        </is>
      </c>
      <c r="D80" s="92" t="n"/>
      <c r="E80" s="92" t="inlineStr">
        <is>
          <t>- Mô tả: Thời gian hoàn thành chạy Automation test cho hệ thống mobile trên platform Android, trên 200 testcase
- Thời gian thực hiện: 16h</t>
        </is>
      </c>
      <c r="F80" s="92" t="n"/>
    </row>
    <row r="81" ht="34.5" customHeight="1" s="52">
      <c r="A81" s="92" t="n">
        <v>78</v>
      </c>
      <c r="B81" s="92" t="inlineStr">
        <is>
          <t>RUN_MOBILE_IOS_1</t>
        </is>
      </c>
      <c r="C81" s="92" t="inlineStr">
        <is>
          <t>Chạy auto test Mobile IOS</t>
        </is>
      </c>
      <c r="D81" s="92" t="n"/>
      <c r="E81" s="92" t="inlineStr">
        <is>
          <t>- Mô tả: Thời gian hoàn thành chạy Automation test cho hệ thống mobile trên platform iOS, dưới 100 testcase
- Thời gian thực hiện: 12h</t>
        </is>
      </c>
      <c r="F81" s="92" t="n"/>
    </row>
    <row r="82" ht="34.5" customHeight="1" s="52">
      <c r="A82" s="92" t="n">
        <v>79</v>
      </c>
      <c r="B82" s="92" t="inlineStr">
        <is>
          <t>RUN_MOBILE_IOS_2</t>
        </is>
      </c>
      <c r="C82" s="92" t="inlineStr">
        <is>
          <t>Chạy auto test Mobile IOS</t>
        </is>
      </c>
      <c r="D82" s="92" t="n"/>
      <c r="E82" s="92" t="inlineStr">
        <is>
          <t>- Mô tả: Thời gian hoàn thành chạy Automation test cho hệ thống mobile trên platform iOS, từ 100 đến 200 testcase
- Thời gian thực hiện: 20h</t>
        </is>
      </c>
      <c r="F82" s="92" t="n"/>
    </row>
    <row r="83" ht="34.5" customHeight="1" s="52">
      <c r="A83" s="92" t="n">
        <v>80</v>
      </c>
      <c r="B83" s="92" t="inlineStr">
        <is>
          <t>RUN_MOBILE_IOS_3</t>
        </is>
      </c>
      <c r="C83" s="92" t="inlineStr">
        <is>
          <t>Chạy auto test Mobile IOS</t>
        </is>
      </c>
      <c r="D83" s="92" t="n"/>
      <c r="E83" s="92" t="inlineStr">
        <is>
          <t>- Mô tả: Thời gian hoàn thành chạy Automation test cho hệ thống mobile trên platform iOS, trên 200 testcase
- Thời gian thực hiện: 28h</t>
        </is>
      </c>
      <c r="F83" s="92" t="n"/>
    </row>
    <row r="84" ht="34.5" customHeight="1" s="52">
      <c r="A84" s="92" t="n">
        <v>81</v>
      </c>
      <c r="B84" s="92" t="inlineStr">
        <is>
          <t>RUN_WEB_1</t>
        </is>
      </c>
      <c r="C84" s="92" t="inlineStr">
        <is>
          <t>Automation test  web</t>
        </is>
      </c>
      <c r="D84" s="92" t="n"/>
      <c r="E84" s="92" t="inlineStr">
        <is>
          <t>- Mô tả: Thời gian hoàn thành chạy Automation test cho hệ thống web, webservice, tiến trình dưới 100 testcase
- Thời gian thực hiện: 8h</t>
        </is>
      </c>
      <c r="F84" s="92" t="n"/>
    </row>
    <row r="85" ht="34.5" customHeight="1" s="52">
      <c r="A85" s="92" t="n">
        <v>82</v>
      </c>
      <c r="B85" s="92" t="inlineStr">
        <is>
          <t>RUN_WEB_2</t>
        </is>
      </c>
      <c r="C85" s="92" t="inlineStr">
        <is>
          <t xml:space="preserve">Automation test </t>
        </is>
      </c>
      <c r="D85" s="92" t="n"/>
      <c r="E85" s="92" t="inlineStr">
        <is>
          <t>- Mô tả: Thời gian hoàn thành chạy Automation test cho hệ thống web, webservice, tiến trình từ 100 đến 200 testcase
- Thời gian thực hiện: 12h</t>
        </is>
      </c>
      <c r="F85" s="92" t="n"/>
    </row>
    <row r="86" ht="34.5" customHeight="1" s="52">
      <c r="A86" s="92" t="n">
        <v>83</v>
      </c>
      <c r="B86" s="92" t="inlineStr">
        <is>
          <t>RUN_WEB_3</t>
        </is>
      </c>
      <c r="C86" s="92" t="inlineStr">
        <is>
          <t xml:space="preserve">Automation test </t>
        </is>
      </c>
      <c r="D86" s="92" t="n"/>
      <c r="E86" s="92" t="inlineStr">
        <is>
          <t>- Mô tả: Thời gian hoàn thành chạy Automation test cho hệ thống web, webservice, tiến trình từ trên 200 testcase
- Thời gian thực hiện: 16h</t>
        </is>
      </c>
      <c r="F86" s="92" t="n"/>
    </row>
    <row r="87" ht="23.25" customHeight="1" s="52">
      <c r="A87" s="92" t="n">
        <v>84</v>
      </c>
      <c r="B87" s="92" t="inlineStr">
        <is>
          <t>MANTAIN_TC_WEB</t>
        </is>
      </c>
      <c r="C87" s="92" t="inlineStr">
        <is>
          <t>Sửa testcase auto web</t>
        </is>
      </c>
      <c r="D87" s="92" t="n"/>
      <c r="E87" s="92" t="inlineStr">
        <is>
          <t>- Thực hiện sửa testcase auto theo nghiệp vụ, màn hình thay đổi nâng cấp</t>
        </is>
      </c>
      <c r="F87" s="92" t="n"/>
    </row>
    <row r="88" ht="23.25" customHeight="1" s="52">
      <c r="A88" s="92" t="n">
        <v>85</v>
      </c>
      <c r="B88" s="92" t="inlineStr">
        <is>
          <t>MAITAIN_TC_MOBILE</t>
        </is>
      </c>
      <c r="C88" s="92" t="inlineStr">
        <is>
          <t>Sửa testcase auto mobile</t>
        </is>
      </c>
      <c r="D88" s="92" t="n"/>
      <c r="E88" s="92" t="inlineStr">
        <is>
          <t>- Thực hiện sửa testcase auto theo nghiệp vụ, màn hình thay đổi nâng cấp trên mobile</t>
        </is>
      </c>
      <c r="F88" s="92" t="n"/>
    </row>
    <row r="89" ht="23.25" customHeight="1" s="52">
      <c r="A89" s="92" t="n">
        <v>86</v>
      </c>
      <c r="B89" s="92" t="inlineStr">
        <is>
          <t>CICD02</t>
        </is>
      </c>
      <c r="C89" s="92" t="inlineStr">
        <is>
          <t>Viết Script cho 1 service lần đầu</t>
        </is>
      </c>
      <c r="D89" s="92" t="n"/>
      <c r="E89" s="92" t="inlineStr">
        <is>
          <t>Viết script triển khai luồng triển khai CI/CD và cấu hình  tích hợp trên jenkins, gitlab cho 1 service lần đầu</t>
        </is>
      </c>
      <c r="F89" s="92" t="n"/>
    </row>
    <row r="90" ht="23.25" customHeight="1" s="52">
      <c r="A90" s="92" t="n">
        <v>87</v>
      </c>
      <c r="B90" s="92" t="inlineStr">
        <is>
          <t>CICD03</t>
        </is>
      </c>
      <c r="C90" s="92" t="inlineStr">
        <is>
          <t xml:space="preserve">Viết Script thêm 1 service </t>
        </is>
      </c>
      <c r="D90" s="92" t="n"/>
      <c r="E90" s="92" t="inlineStr">
        <is>
          <t>Viết script triển khai luồng triển khai CI/CD và cấu hình trên jenkins,gitlab khi triển khai thêm 1 service mới.</t>
        </is>
      </c>
      <c r="F90" s="92" t="n"/>
    </row>
    <row r="91" ht="15" customHeight="1" s="52">
      <c r="A91" s="92" t="n">
        <v>88</v>
      </c>
      <c r="B91" s="92" t="inlineStr">
        <is>
          <t>UNITTEST</t>
        </is>
      </c>
      <c r="C91" s="92" t="inlineStr">
        <is>
          <t>Nỗ lực unit Test</t>
        </is>
      </c>
      <c r="D91" s="92" t="n"/>
      <c r="E91" s="92" t="n"/>
      <c r="F91" s="92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2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51" min="1" max="1"/>
    <col width="28" customWidth="1" style="51" min="2" max="2"/>
    <col width="16" customWidth="1" style="51" min="3" max="3"/>
    <col width="32" customWidth="1" style="51" min="4" max="4"/>
    <col width="14" customWidth="1" style="51" min="5" max="5"/>
  </cols>
  <sheetData>
    <row r="1" ht="39.75" customHeight="1" s="52">
      <c r="A1" s="100" t="inlineStr">
        <is>
          <t>PHỤ LỤC 1.3
CƠ SỞ DỮ LIỆU CHỨC NĂNG</t>
        </is>
      </c>
    </row>
    <row r="2" ht="15" customHeight="1" s="52">
      <c r="A2" s="79" t="inlineStr">
        <is>
          <t>TT</t>
        </is>
      </c>
      <c r="B2" s="79" t="inlineStr">
        <is>
          <t>Loại chức năng</t>
        </is>
      </c>
      <c r="C2" s="79" t="inlineStr">
        <is>
          <t>Loại công việc</t>
        </is>
      </c>
      <c r="D2" s="79" t="inlineStr">
        <is>
          <t>Key (Tự sinh)</t>
        </is>
      </c>
      <c r="E2" s="79" t="inlineStr">
        <is>
          <t>Nỗ lực (MH)</t>
        </is>
      </c>
    </row>
    <row r="4" ht="15" customHeight="1" s="52">
      <c r="A4" s="101" t="n">
        <v>1</v>
      </c>
      <c r="B4" s="101" t="inlineStr">
        <is>
          <t>NVJ1-PTM</t>
        </is>
      </c>
      <c r="C4" s="101" t="inlineStr">
        <is>
          <t>Giải pháp</t>
        </is>
      </c>
      <c r="D4" s="101">
        <f>B4&amp;C4</f>
        <v/>
      </c>
      <c r="E4" s="102" t="n">
        <v>8</v>
      </c>
    </row>
    <row r="5" ht="15" customHeight="1" s="52">
      <c r="A5" s="101" t="n">
        <v>2</v>
      </c>
      <c r="B5" s="101" t="inlineStr">
        <is>
          <t>NVJ1-PTM</t>
        </is>
      </c>
      <c r="C5" s="101" t="inlineStr">
        <is>
          <t>Phát triển</t>
        </is>
      </c>
      <c r="D5" s="101">
        <f>B5&amp;C5</f>
        <v/>
      </c>
      <c r="E5" s="102" t="n">
        <v>12</v>
      </c>
    </row>
    <row r="6" ht="15" customHeight="1" s="52">
      <c r="A6" s="101" t="n">
        <v>3</v>
      </c>
      <c r="B6" s="101" t="inlineStr">
        <is>
          <t>NVJ1-PTM</t>
        </is>
      </c>
      <c r="C6" s="101" t="inlineStr">
        <is>
          <t>Kiểm thử</t>
        </is>
      </c>
      <c r="D6" s="101">
        <f>B6&amp;C6</f>
        <v/>
      </c>
      <c r="E6" s="102" t="n">
        <v>8</v>
      </c>
    </row>
    <row r="7" ht="15" customHeight="1" s="52">
      <c r="A7" s="101" t="n">
        <v>4</v>
      </c>
      <c r="B7" s="101" t="inlineStr">
        <is>
          <t>NVJ2-PTM</t>
        </is>
      </c>
      <c r="C7" s="101" t="inlineStr">
        <is>
          <t>Giải pháp</t>
        </is>
      </c>
      <c r="D7" s="101">
        <f>B7&amp;C7</f>
        <v/>
      </c>
      <c r="E7" s="102" t="n">
        <v>10</v>
      </c>
    </row>
    <row r="8" ht="15" customHeight="1" s="52">
      <c r="A8" s="101" t="n">
        <v>5</v>
      </c>
      <c r="B8" s="101" t="inlineStr">
        <is>
          <t>NVJ2-PTM</t>
        </is>
      </c>
      <c r="C8" s="101" t="inlineStr">
        <is>
          <t>Phát triển</t>
        </is>
      </c>
      <c r="D8" s="101">
        <f>B8&amp;C8</f>
        <v/>
      </c>
      <c r="E8" s="102" t="n">
        <v>20</v>
      </c>
    </row>
    <row r="9" ht="15" customHeight="1" s="52">
      <c r="A9" s="101" t="n">
        <v>6</v>
      </c>
      <c r="B9" s="101" t="inlineStr">
        <is>
          <t>NVJ2-PTM</t>
        </is>
      </c>
      <c r="C9" s="101" t="inlineStr">
        <is>
          <t>Kiểm thử</t>
        </is>
      </c>
      <c r="D9" s="101">
        <f>B9&amp;C9</f>
        <v/>
      </c>
      <c r="E9" s="102" t="n">
        <v>14</v>
      </c>
    </row>
    <row r="10" ht="15" customHeight="1" s="52">
      <c r="A10" s="101" t="n">
        <v>7</v>
      </c>
      <c r="B10" s="101" t="inlineStr">
        <is>
          <t>NVJ3-PTM</t>
        </is>
      </c>
      <c r="C10" s="101" t="inlineStr">
        <is>
          <t>Giải pháp</t>
        </is>
      </c>
      <c r="D10" s="101">
        <f>B10&amp;C10</f>
        <v/>
      </c>
      <c r="E10" s="102" t="n">
        <v>16</v>
      </c>
    </row>
    <row r="11" ht="15" customHeight="1" s="52">
      <c r="A11" s="101" t="n">
        <v>8</v>
      </c>
      <c r="B11" s="101" t="inlineStr">
        <is>
          <t>NVJ3-PTM</t>
        </is>
      </c>
      <c r="C11" s="101" t="inlineStr">
        <is>
          <t>Phát triển</t>
        </is>
      </c>
      <c r="D11" s="101">
        <f>B11&amp;C11</f>
        <v/>
      </c>
      <c r="E11" s="102" t="n">
        <v>26</v>
      </c>
    </row>
    <row r="12" ht="15" customHeight="1" s="52">
      <c r="A12" s="101" t="n">
        <v>9</v>
      </c>
      <c r="B12" s="101" t="inlineStr">
        <is>
          <t>NVJ3-PTM</t>
        </is>
      </c>
      <c r="C12" s="101" t="inlineStr">
        <is>
          <t>Kiểm thử</t>
        </is>
      </c>
      <c r="D12" s="101">
        <f>B12&amp;C12</f>
        <v/>
      </c>
      <c r="E12" s="102" t="n">
        <v>23</v>
      </c>
    </row>
    <row r="13" ht="15" customHeight="1" s="52">
      <c r="A13" s="101" t="n">
        <v>10</v>
      </c>
      <c r="B13" s="101" t="inlineStr">
        <is>
          <t>GD_WEB1</t>
        </is>
      </c>
      <c r="C13" s="101" t="inlineStr">
        <is>
          <t>Giải pháp</t>
        </is>
      </c>
      <c r="D13" s="101">
        <f>B13&amp;C13</f>
        <v/>
      </c>
      <c r="E13" s="102" t="n">
        <v>6</v>
      </c>
    </row>
    <row r="14" ht="15" customHeight="1" s="52">
      <c r="A14" s="101" t="n">
        <v>11</v>
      </c>
      <c r="B14" s="101" t="inlineStr">
        <is>
          <t>GD_WEB1</t>
        </is>
      </c>
      <c r="C14" s="101" t="inlineStr">
        <is>
          <t>Phát triển</t>
        </is>
      </c>
      <c r="D14" s="101">
        <f>B14&amp;C14</f>
        <v/>
      </c>
      <c r="E14" s="102" t="n">
        <v>12</v>
      </c>
    </row>
    <row r="15" ht="15" customHeight="1" s="52">
      <c r="A15" s="101" t="n">
        <v>12</v>
      </c>
      <c r="B15" s="101" t="inlineStr">
        <is>
          <t>GD_WEB1</t>
        </is>
      </c>
      <c r="C15" s="101" t="inlineStr">
        <is>
          <t>Kiểm thử</t>
        </is>
      </c>
      <c r="D15" s="101">
        <f>B15&amp;C15</f>
        <v/>
      </c>
      <c r="E15" s="102" t="n">
        <v>8</v>
      </c>
    </row>
    <row r="16" ht="15" customHeight="1" s="52">
      <c r="A16" s="101" t="n">
        <v>13</v>
      </c>
      <c r="B16" s="101" t="inlineStr">
        <is>
          <t>GD_WEB2</t>
        </is>
      </c>
      <c r="C16" s="101" t="inlineStr">
        <is>
          <t>Giải pháp</t>
        </is>
      </c>
      <c r="D16" s="101">
        <f>B16&amp;C16</f>
        <v/>
      </c>
      <c r="E16" s="102" t="n">
        <v>10</v>
      </c>
    </row>
    <row r="17" ht="15" customHeight="1" s="52">
      <c r="A17" s="101" t="n">
        <v>14</v>
      </c>
      <c r="B17" s="101" t="inlineStr">
        <is>
          <t>GD_WEB2</t>
        </is>
      </c>
      <c r="C17" s="101" t="inlineStr">
        <is>
          <t>Phát triển</t>
        </is>
      </c>
      <c r="D17" s="101">
        <f>B17&amp;C17</f>
        <v/>
      </c>
      <c r="E17" s="102" t="n">
        <v>19</v>
      </c>
    </row>
    <row r="18" ht="15" customHeight="1" s="52">
      <c r="A18" s="101" t="n">
        <v>15</v>
      </c>
      <c r="B18" s="101" t="inlineStr">
        <is>
          <t>GD_WEB2</t>
        </is>
      </c>
      <c r="C18" s="101" t="inlineStr">
        <is>
          <t>Kiểm thử</t>
        </is>
      </c>
      <c r="D18" s="101">
        <f>B18&amp;C18</f>
        <v/>
      </c>
      <c r="E18" s="102" t="n">
        <v>10</v>
      </c>
    </row>
    <row r="19" ht="15" customHeight="1" s="52">
      <c r="A19" s="101" t="n">
        <v>16</v>
      </c>
      <c r="B19" s="101" t="inlineStr">
        <is>
          <t>GD_WEB3</t>
        </is>
      </c>
      <c r="C19" s="101" t="inlineStr">
        <is>
          <t>Giải pháp</t>
        </is>
      </c>
      <c r="D19" s="101">
        <f>B19&amp;C19</f>
        <v/>
      </c>
      <c r="E19" s="102" t="n">
        <v>15</v>
      </c>
    </row>
    <row r="20" ht="15" customHeight="1" s="52">
      <c r="A20" s="101" t="n">
        <v>17</v>
      </c>
      <c r="B20" s="101" t="inlineStr">
        <is>
          <t>GD_WEB3</t>
        </is>
      </c>
      <c r="C20" s="101" t="inlineStr">
        <is>
          <t>Phát triển</t>
        </is>
      </c>
      <c r="D20" s="101">
        <f>B20&amp;C20</f>
        <v/>
      </c>
      <c r="E20" s="102" t="n">
        <v>22</v>
      </c>
    </row>
    <row r="21" ht="15" customHeight="1" s="52">
      <c r="A21" s="101" t="n">
        <v>18</v>
      </c>
      <c r="B21" s="101" t="inlineStr">
        <is>
          <t>GD_WEB3</t>
        </is>
      </c>
      <c r="C21" s="101" t="inlineStr">
        <is>
          <t>Kiểm thử</t>
        </is>
      </c>
      <c r="D21" s="101">
        <f>B21&amp;C21</f>
        <v/>
      </c>
      <c r="E21" s="102" t="n">
        <v>16</v>
      </c>
    </row>
    <row r="22" ht="15" customHeight="1" s="52">
      <c r="A22" s="101" t="n">
        <v>19</v>
      </c>
      <c r="B22" s="101" t="inlineStr">
        <is>
          <t>BC1</t>
        </is>
      </c>
      <c r="C22" s="101" t="inlineStr">
        <is>
          <t>Giải pháp</t>
        </is>
      </c>
      <c r="D22" s="101">
        <f>B22&amp;C22</f>
        <v/>
      </c>
      <c r="E22" s="102" t="n">
        <v>6</v>
      </c>
    </row>
    <row r="23" ht="15" customHeight="1" s="52">
      <c r="A23" s="101" t="n">
        <v>20</v>
      </c>
      <c r="B23" s="101" t="inlineStr">
        <is>
          <t>BC1</t>
        </is>
      </c>
      <c r="C23" s="101" t="inlineStr">
        <is>
          <t>Phát triển</t>
        </is>
      </c>
      <c r="D23" s="101">
        <f>B23&amp;C23</f>
        <v/>
      </c>
      <c r="E23" s="102" t="n">
        <v>7</v>
      </c>
    </row>
    <row r="24" ht="15" customHeight="1" s="52">
      <c r="A24" s="101" t="n">
        <v>21</v>
      </c>
      <c r="B24" s="101" t="inlineStr">
        <is>
          <t>BC1</t>
        </is>
      </c>
      <c r="C24" s="101" t="inlineStr">
        <is>
          <t>Kiểm thử</t>
        </is>
      </c>
      <c r="D24" s="101">
        <f>B24&amp;C24</f>
        <v/>
      </c>
      <c r="E24" s="102" t="n">
        <v>6</v>
      </c>
    </row>
    <row r="25" ht="15" customHeight="1" s="52">
      <c r="A25" s="101" t="n">
        <v>22</v>
      </c>
      <c r="B25" s="101" t="inlineStr">
        <is>
          <t>BC2</t>
        </is>
      </c>
      <c r="C25" s="101" t="inlineStr">
        <is>
          <t>Giải pháp</t>
        </is>
      </c>
      <c r="D25" s="101">
        <f>B25&amp;C25</f>
        <v/>
      </c>
      <c r="E25" s="102" t="n">
        <v>6</v>
      </c>
    </row>
    <row r="26" ht="15" customHeight="1" s="52">
      <c r="A26" s="101" t="n">
        <v>23</v>
      </c>
      <c r="B26" s="101" t="inlineStr">
        <is>
          <t>BC2</t>
        </is>
      </c>
      <c r="C26" s="101" t="inlineStr">
        <is>
          <t>Phát triển</t>
        </is>
      </c>
      <c r="D26" s="101">
        <f>B26&amp;C26</f>
        <v/>
      </c>
      <c r="E26" s="102" t="n">
        <v>15</v>
      </c>
    </row>
    <row r="27" ht="15" customHeight="1" s="52">
      <c r="A27" s="101" t="n">
        <v>24</v>
      </c>
      <c r="B27" s="101" t="inlineStr">
        <is>
          <t>BC2</t>
        </is>
      </c>
      <c r="C27" s="101" t="inlineStr">
        <is>
          <t>Kiểm thử</t>
        </is>
      </c>
      <c r="D27" s="101">
        <f>B27&amp;C27</f>
        <v/>
      </c>
      <c r="E27" s="102" t="n">
        <v>11</v>
      </c>
    </row>
    <row r="28" ht="15" customHeight="1" s="52">
      <c r="A28" s="101" t="n">
        <v>25</v>
      </c>
      <c r="B28" s="101" t="inlineStr">
        <is>
          <t>BC3</t>
        </is>
      </c>
      <c r="C28" s="101" t="inlineStr">
        <is>
          <t>Giải pháp</t>
        </is>
      </c>
      <c r="D28" s="101">
        <f>B28&amp;C28</f>
        <v/>
      </c>
      <c r="E28" s="102" t="n">
        <v>16</v>
      </c>
    </row>
    <row r="29" ht="15" customHeight="1" s="52">
      <c r="A29" s="101" t="n">
        <v>26</v>
      </c>
      <c r="B29" s="101" t="inlineStr">
        <is>
          <t>BC3</t>
        </is>
      </c>
      <c r="C29" s="101" t="inlineStr">
        <is>
          <t>Phát triển</t>
        </is>
      </c>
      <c r="D29" s="101">
        <f>B29&amp;C29</f>
        <v/>
      </c>
      <c r="E29" s="102" t="n">
        <v>32</v>
      </c>
    </row>
    <row r="30" ht="15" customHeight="1" s="52">
      <c r="A30" s="101" t="n">
        <v>27</v>
      </c>
      <c r="B30" s="101" t="inlineStr">
        <is>
          <t>BC3</t>
        </is>
      </c>
      <c r="C30" s="101" t="inlineStr">
        <is>
          <t>Kiểm thử</t>
        </is>
      </c>
      <c r="D30" s="101">
        <f>B30&amp;C30</f>
        <v/>
      </c>
      <c r="E30" s="102" t="n">
        <v>16</v>
      </c>
    </row>
    <row r="31" ht="15" customHeight="1" s="52">
      <c r="A31" s="101" t="n">
        <v>28</v>
      </c>
      <c r="B31" s="101" t="inlineStr">
        <is>
          <t>NVJ3-NC</t>
        </is>
      </c>
      <c r="C31" s="101" t="inlineStr">
        <is>
          <t>Giải pháp</t>
        </is>
      </c>
      <c r="D31" s="101">
        <f>B31&amp;C31</f>
        <v/>
      </c>
      <c r="E31" s="102" t="n">
        <v>6</v>
      </c>
    </row>
    <row r="32" ht="15" customHeight="1" s="52">
      <c r="A32" s="101" t="n">
        <v>29</v>
      </c>
      <c r="B32" s="101" t="inlineStr">
        <is>
          <t>NVJ3-NC</t>
        </is>
      </c>
      <c r="C32" s="101" t="inlineStr">
        <is>
          <t>Phát triển</t>
        </is>
      </c>
      <c r="D32" s="101">
        <f>B32&amp;C32</f>
        <v/>
      </c>
      <c r="E32" s="102" t="n">
        <v>15</v>
      </c>
    </row>
    <row r="33" ht="15" customHeight="1" s="52">
      <c r="A33" s="101" t="n">
        <v>30</v>
      </c>
      <c r="B33" s="101" t="inlineStr">
        <is>
          <t>NVJ3-NC</t>
        </is>
      </c>
      <c r="C33" s="101" t="inlineStr">
        <is>
          <t>Kiểm thử</t>
        </is>
      </c>
      <c r="D33" s="101">
        <f>B33&amp;C33</f>
        <v/>
      </c>
      <c r="E33" s="102" t="n">
        <v>11</v>
      </c>
    </row>
    <row r="34" ht="15" customHeight="1" s="52">
      <c r="A34" s="101" t="n">
        <v>31</v>
      </c>
      <c r="B34" s="101" t="inlineStr">
        <is>
          <t>NVJ2-NC</t>
        </is>
      </c>
      <c r="C34" s="101" t="inlineStr">
        <is>
          <t>Giải pháp</t>
        </is>
      </c>
      <c r="D34" s="101">
        <f>B34&amp;C34</f>
        <v/>
      </c>
      <c r="E34" s="102" t="n">
        <v>3.59</v>
      </c>
    </row>
    <row r="35" ht="15" customHeight="1" s="52">
      <c r="A35" s="101" t="n">
        <v>32</v>
      </c>
      <c r="B35" s="101" t="inlineStr">
        <is>
          <t>NVJ2-NC</t>
        </is>
      </c>
      <c r="C35" s="101" t="inlineStr">
        <is>
          <t>Phát triển</t>
        </is>
      </c>
      <c r="D35" s="101">
        <f>B35&amp;C35</f>
        <v/>
      </c>
      <c r="E35" s="102" t="n">
        <v>6.14</v>
      </c>
    </row>
    <row r="36" ht="15" customHeight="1" s="52">
      <c r="A36" s="101" t="n">
        <v>33</v>
      </c>
      <c r="B36" s="101" t="inlineStr">
        <is>
          <t>NVJ2-NC</t>
        </is>
      </c>
      <c r="C36" s="101" t="inlineStr">
        <is>
          <t>Kiểm thử</t>
        </is>
      </c>
      <c r="D36" s="101">
        <f>B36&amp;C36</f>
        <v/>
      </c>
      <c r="E36" s="102" t="n">
        <v>4.76</v>
      </c>
    </row>
    <row r="37" ht="15" customHeight="1" s="52">
      <c r="A37" s="101" t="n">
        <v>34</v>
      </c>
      <c r="B37" s="101" t="inlineStr">
        <is>
          <t>NVJ1-NC</t>
        </is>
      </c>
      <c r="C37" s="101" t="inlineStr">
        <is>
          <t>Giải pháp</t>
        </is>
      </c>
      <c r="D37" s="101">
        <f>B37&amp;C37</f>
        <v/>
      </c>
      <c r="E37" s="102" t="n">
        <v>1.69</v>
      </c>
    </row>
    <row r="38" ht="15" customHeight="1" s="52">
      <c r="A38" s="101" t="n">
        <v>35</v>
      </c>
      <c r="B38" s="101" t="inlineStr">
        <is>
          <t>NVJ1-NC</t>
        </is>
      </c>
      <c r="C38" s="101" t="inlineStr">
        <is>
          <t>Phát triển</t>
        </is>
      </c>
      <c r="D38" s="101">
        <f>B38&amp;C38</f>
        <v/>
      </c>
      <c r="E38" s="102" t="n">
        <v>3.01</v>
      </c>
    </row>
    <row r="39" ht="15" customHeight="1" s="52">
      <c r="A39" s="101" t="n">
        <v>36</v>
      </c>
      <c r="B39" s="101" t="inlineStr">
        <is>
          <t>NVJ1-NC</t>
        </is>
      </c>
      <c r="C39" s="101" t="inlineStr">
        <is>
          <t>Kiểm thử</t>
        </is>
      </c>
      <c r="D39" s="101">
        <f>B39&amp;C39</f>
        <v/>
      </c>
      <c r="E39" s="102" t="n">
        <v>3.16</v>
      </c>
    </row>
    <row r="40" ht="15" customHeight="1" s="52">
      <c r="A40" s="101" t="n">
        <v>37</v>
      </c>
      <c r="B40" s="101" t="inlineStr">
        <is>
          <t>DM2</t>
        </is>
      </c>
      <c r="C40" s="101" t="inlineStr">
        <is>
          <t>Giải pháp</t>
        </is>
      </c>
      <c r="D40" s="101">
        <f>B40&amp;C40</f>
        <v/>
      </c>
      <c r="E40" s="102" t="n">
        <v>4.5</v>
      </c>
    </row>
    <row r="41" ht="15" customHeight="1" s="52">
      <c r="A41" s="101" t="n">
        <v>38</v>
      </c>
      <c r="B41" s="101" t="inlineStr">
        <is>
          <t>DM2</t>
        </is>
      </c>
      <c r="C41" s="101" t="inlineStr">
        <is>
          <t>Phát triển</t>
        </is>
      </c>
      <c r="D41" s="101">
        <f>B41&amp;C41</f>
        <v/>
      </c>
      <c r="E41" s="102" t="n">
        <v>9</v>
      </c>
    </row>
    <row r="42" ht="15" customHeight="1" s="52">
      <c r="A42" s="101" t="n">
        <v>39</v>
      </c>
      <c r="B42" s="101" t="inlineStr">
        <is>
          <t>DM2</t>
        </is>
      </c>
      <c r="C42" s="101" t="inlineStr">
        <is>
          <t>Kiểm thử</t>
        </is>
      </c>
      <c r="D42" s="101">
        <f>B42&amp;C42</f>
        <v/>
      </c>
      <c r="E42" s="102" t="n">
        <v>7.5</v>
      </c>
    </row>
    <row r="43" ht="15" customHeight="1" s="52">
      <c r="A43" s="101" t="n">
        <v>40</v>
      </c>
      <c r="B43" s="101" t="inlineStr">
        <is>
          <t>GD_MOBILE1</t>
        </is>
      </c>
      <c r="C43" s="101" t="inlineStr">
        <is>
          <t>Giải pháp</t>
        </is>
      </c>
      <c r="D43" s="101">
        <f>B43&amp;C43</f>
        <v/>
      </c>
      <c r="E43" s="102" t="n">
        <v>3</v>
      </c>
    </row>
    <row r="44" ht="15" customHeight="1" s="52">
      <c r="A44" s="101" t="n">
        <v>41</v>
      </c>
      <c r="B44" s="101" t="inlineStr">
        <is>
          <t>GD_MOBILE1</t>
        </is>
      </c>
      <c r="C44" s="101" t="inlineStr">
        <is>
          <t>Phát triển</t>
        </is>
      </c>
      <c r="D44" s="101">
        <f>B44&amp;C44</f>
        <v/>
      </c>
      <c r="E44" s="102" t="n">
        <v>4</v>
      </c>
    </row>
    <row r="45" ht="15" customHeight="1" s="52">
      <c r="A45" s="101" t="n">
        <v>42</v>
      </c>
      <c r="B45" s="101" t="inlineStr">
        <is>
          <t>GD_MOBILE1</t>
        </is>
      </c>
      <c r="C45" s="101" t="inlineStr">
        <is>
          <t>Kiểm thử</t>
        </is>
      </c>
      <c r="D45" s="101">
        <f>B45&amp;C45</f>
        <v/>
      </c>
      <c r="E45" s="102" t="n">
        <v>3</v>
      </c>
    </row>
    <row r="46" ht="15" customHeight="1" s="52">
      <c r="A46" s="101" t="n">
        <v>43</v>
      </c>
      <c r="B46" s="101" t="inlineStr">
        <is>
          <t>GD_MOBILE2</t>
        </is>
      </c>
      <c r="C46" s="101" t="inlineStr">
        <is>
          <t>Giải pháp</t>
        </is>
      </c>
      <c r="D46" s="101">
        <f>B46&amp;C46</f>
        <v/>
      </c>
      <c r="E46" s="102" t="n">
        <v>7</v>
      </c>
    </row>
    <row r="47" ht="15" customHeight="1" s="52">
      <c r="A47" s="101" t="n">
        <v>44</v>
      </c>
      <c r="B47" s="101" t="inlineStr">
        <is>
          <t>GD_MOBILE2</t>
        </is>
      </c>
      <c r="C47" s="101" t="inlineStr">
        <is>
          <t>Phát triển</t>
        </is>
      </c>
      <c r="D47" s="101">
        <f>B47&amp;C47</f>
        <v/>
      </c>
      <c r="E47" s="102" t="n">
        <v>10</v>
      </c>
    </row>
    <row r="48" ht="15" customHeight="1" s="52">
      <c r="A48" s="101" t="n">
        <v>45</v>
      </c>
      <c r="B48" s="101" t="inlineStr">
        <is>
          <t>GD_MOBILE2</t>
        </is>
      </c>
      <c r="C48" s="101" t="inlineStr">
        <is>
          <t>Kiểm thử</t>
        </is>
      </c>
      <c r="D48" s="101">
        <f>B48&amp;C48</f>
        <v/>
      </c>
      <c r="E48" s="102" t="n">
        <v>7</v>
      </c>
    </row>
    <row r="49" ht="15" customHeight="1" s="52">
      <c r="A49" s="101" t="n">
        <v>46</v>
      </c>
      <c r="B49" s="101" t="inlineStr">
        <is>
          <t>GD_MOBILE3</t>
        </is>
      </c>
      <c r="C49" s="101" t="inlineStr">
        <is>
          <t>Giải pháp</t>
        </is>
      </c>
      <c r="D49" s="101">
        <f>B49&amp;C49</f>
        <v/>
      </c>
      <c r="E49" s="102" t="n">
        <v>13</v>
      </c>
    </row>
    <row r="50" ht="15" customHeight="1" s="52">
      <c r="A50" s="101" t="n">
        <v>47</v>
      </c>
      <c r="B50" s="101" t="inlineStr">
        <is>
          <t>GD_MOBILE3</t>
        </is>
      </c>
      <c r="C50" s="101" t="inlineStr">
        <is>
          <t>Phát triển</t>
        </is>
      </c>
      <c r="D50" s="101">
        <f>B50&amp;C50</f>
        <v/>
      </c>
      <c r="E50" s="102" t="n">
        <v>19</v>
      </c>
    </row>
    <row r="51" ht="15" customHeight="1" s="52">
      <c r="A51" s="101" t="n">
        <v>48</v>
      </c>
      <c r="B51" s="101" t="inlineStr">
        <is>
          <t>GD_MOBILE3</t>
        </is>
      </c>
      <c r="C51" s="101" t="inlineStr">
        <is>
          <t>Kiểm thử</t>
        </is>
      </c>
      <c r="D51" s="101">
        <f>B51&amp;C51</f>
        <v/>
      </c>
      <c r="E51" s="102" t="n">
        <v>14</v>
      </c>
    </row>
    <row r="52" ht="15" customHeight="1" s="52">
      <c r="A52" s="101" t="n">
        <v>49</v>
      </c>
      <c r="B52" s="101" t="inlineStr">
        <is>
          <t>DM1</t>
        </is>
      </c>
      <c r="C52" s="101" t="inlineStr">
        <is>
          <t>Giải pháp</t>
        </is>
      </c>
      <c r="D52" s="101">
        <f>B52&amp;C52</f>
        <v/>
      </c>
      <c r="E52" s="102" t="n">
        <v>1.5</v>
      </c>
    </row>
    <row r="53" ht="15" customHeight="1" s="52">
      <c r="A53" s="101" t="n">
        <v>50</v>
      </c>
      <c r="B53" s="101" t="inlineStr">
        <is>
          <t>DM1</t>
        </is>
      </c>
      <c r="C53" s="101" t="inlineStr">
        <is>
          <t>Phát triển</t>
        </is>
      </c>
      <c r="D53" s="101">
        <f>B53&amp;C53</f>
        <v/>
      </c>
      <c r="E53" s="102" t="n">
        <v>3</v>
      </c>
    </row>
    <row r="54" ht="15" customHeight="1" s="52">
      <c r="A54" s="101" t="n">
        <v>51</v>
      </c>
      <c r="B54" s="101" t="inlineStr">
        <is>
          <t>DM1</t>
        </is>
      </c>
      <c r="C54" s="101" t="inlineStr">
        <is>
          <t>Kiểm thử</t>
        </is>
      </c>
      <c r="D54" s="101">
        <f>B54&amp;C54</f>
        <v/>
      </c>
      <c r="E54" s="102" t="n">
        <v>3.5</v>
      </c>
    </row>
    <row r="55" ht="15" customHeight="1" s="52">
      <c r="A55" s="101" t="n">
        <v>52</v>
      </c>
      <c r="B55" s="101" t="inlineStr">
        <is>
          <t>CN_WEB_KT</t>
        </is>
      </c>
      <c r="C55" s="101" t="inlineStr">
        <is>
          <t>Giải pháp</t>
        </is>
      </c>
      <c r="D55" s="101">
        <f>B55&amp;C55</f>
        <v/>
      </c>
      <c r="E55" s="102" t="n">
        <v>8</v>
      </c>
    </row>
    <row r="56" ht="15" customHeight="1" s="52">
      <c r="A56" s="101" t="n">
        <v>53</v>
      </c>
      <c r="B56" s="101" t="inlineStr">
        <is>
          <t>CN_WEB_KT</t>
        </is>
      </c>
      <c r="C56" s="101" t="inlineStr">
        <is>
          <t>Phát triển</t>
        </is>
      </c>
      <c r="D56" s="101">
        <f>B56&amp;C56</f>
        <v/>
      </c>
      <c r="E56" s="102" t="n">
        <v>48</v>
      </c>
    </row>
    <row r="57" ht="15" customHeight="1" s="52">
      <c r="A57" s="101" t="n">
        <v>54</v>
      </c>
      <c r="B57" s="101" t="inlineStr">
        <is>
          <t>CN_WEB_KT</t>
        </is>
      </c>
      <c r="C57" s="101" t="inlineStr">
        <is>
          <t>Kiểm thử</t>
        </is>
      </c>
      <c r="D57" s="101">
        <f>B57&amp;C57</f>
        <v/>
      </c>
      <c r="E57" s="102" t="n">
        <v>16</v>
      </c>
    </row>
    <row r="58" ht="15" customHeight="1" s="52">
      <c r="A58" s="101" t="n">
        <v>55</v>
      </c>
      <c r="B58" s="101" t="inlineStr">
        <is>
          <t>GD1_CUT</t>
        </is>
      </c>
      <c r="C58" s="101" t="inlineStr">
        <is>
          <t>Giải pháp</t>
        </is>
      </c>
      <c r="D58" s="101">
        <f>B58&amp;C58</f>
        <v/>
      </c>
      <c r="E58" s="102" t="n">
        <v>1.2</v>
      </c>
    </row>
    <row r="59" ht="15" customHeight="1" s="52">
      <c r="A59" s="101" t="n">
        <v>56</v>
      </c>
      <c r="B59" s="101" t="inlineStr">
        <is>
          <t>GD1_CUT</t>
        </is>
      </c>
      <c r="C59" s="101" t="inlineStr">
        <is>
          <t>kiểm thử</t>
        </is>
      </c>
      <c r="D59" s="101">
        <f>B59&amp;C59</f>
        <v/>
      </c>
      <c r="E59" s="102" t="n">
        <v>1.2</v>
      </c>
    </row>
    <row r="60" ht="15" customHeight="1" s="52">
      <c r="A60" s="101" t="n">
        <v>57</v>
      </c>
      <c r="B60" s="101" t="inlineStr">
        <is>
          <t>GD1_CUT</t>
        </is>
      </c>
      <c r="C60" s="101" t="inlineStr">
        <is>
          <t>Phát triển</t>
        </is>
      </c>
      <c r="D60" s="101">
        <f>B60&amp;C60</f>
        <v/>
      </c>
      <c r="E60" s="102" t="n">
        <v>0</v>
      </c>
    </row>
    <row r="61" ht="15" customHeight="1" s="52">
      <c r="A61" s="101" t="n">
        <v>58</v>
      </c>
      <c r="B61" s="101" t="inlineStr">
        <is>
          <t>GD2_CUT</t>
        </is>
      </c>
      <c r="C61" s="101" t="inlineStr">
        <is>
          <t>Phát triển</t>
        </is>
      </c>
      <c r="D61" s="101">
        <f>B61&amp;C61</f>
        <v/>
      </c>
      <c r="E61" s="102" t="n">
        <v>4</v>
      </c>
    </row>
    <row r="62" ht="15" customHeight="1" s="52">
      <c r="A62" s="101" t="n">
        <v>59</v>
      </c>
      <c r="B62" s="101" t="inlineStr">
        <is>
          <t>GD2_CUT</t>
        </is>
      </c>
      <c r="C62" s="101" t="inlineStr">
        <is>
          <t>kiểm thử</t>
        </is>
      </c>
      <c r="D62" s="101">
        <f>B62&amp;C62</f>
        <v/>
      </c>
      <c r="E62" s="102" t="n">
        <v>2</v>
      </c>
    </row>
    <row r="63" ht="15" customHeight="1" s="52">
      <c r="A63" s="101" t="n">
        <v>60</v>
      </c>
      <c r="B63" s="101" t="inlineStr">
        <is>
          <t>GD2_CUT</t>
        </is>
      </c>
      <c r="C63" s="101" t="inlineStr">
        <is>
          <t>Giải pháp</t>
        </is>
      </c>
      <c r="D63" s="101">
        <f>B63&amp;C63</f>
        <v/>
      </c>
      <c r="E63" s="102" t="n">
        <v>0</v>
      </c>
    </row>
    <row r="64" ht="15" customHeight="1" s="52">
      <c r="A64" s="101" t="n">
        <v>61</v>
      </c>
      <c r="B64" s="101" t="inlineStr">
        <is>
          <t>CN_WEB1</t>
        </is>
      </c>
      <c r="C64" s="101" t="inlineStr">
        <is>
          <t>Giải pháp</t>
        </is>
      </c>
      <c r="D64" s="101">
        <f>B64&amp;C64</f>
        <v/>
      </c>
      <c r="E64" s="102" t="n">
        <v>7.5</v>
      </c>
    </row>
    <row r="65" ht="15" customHeight="1" s="52">
      <c r="A65" s="101" t="n">
        <v>62</v>
      </c>
      <c r="B65" s="101" t="inlineStr">
        <is>
          <t>CN_WEB1</t>
        </is>
      </c>
      <c r="C65" s="101" t="inlineStr">
        <is>
          <t>Phát triển</t>
        </is>
      </c>
      <c r="D65" s="101">
        <f>B65&amp;C65</f>
        <v/>
      </c>
      <c r="E65" s="102" t="n">
        <v>12</v>
      </c>
    </row>
    <row r="66" ht="15" customHeight="1" s="52">
      <c r="A66" s="101" t="n">
        <v>63</v>
      </c>
      <c r="B66" s="101" t="inlineStr">
        <is>
          <t>CN_WEB1</t>
        </is>
      </c>
      <c r="C66" s="101" t="inlineStr">
        <is>
          <t>Kiểm thử</t>
        </is>
      </c>
      <c r="D66" s="101">
        <f>B66&amp;C66</f>
        <v/>
      </c>
      <c r="E66" s="102" t="n">
        <v>7</v>
      </c>
    </row>
    <row r="67" ht="15" customHeight="1" s="52">
      <c r="A67" s="101" t="n">
        <v>64</v>
      </c>
      <c r="B67" s="101" t="inlineStr">
        <is>
          <t>CN_WEB2</t>
        </is>
      </c>
      <c r="C67" s="101" t="inlineStr">
        <is>
          <t>Giải pháp</t>
        </is>
      </c>
      <c r="D67" s="101">
        <f>B67&amp;C67</f>
        <v/>
      </c>
      <c r="E67" s="102" t="n">
        <v>10</v>
      </c>
    </row>
    <row r="68" ht="15" customHeight="1" s="52">
      <c r="A68" s="101" t="n">
        <v>65</v>
      </c>
      <c r="B68" s="101" t="inlineStr">
        <is>
          <t>CN_WEB2</t>
        </is>
      </c>
      <c r="C68" s="101" t="inlineStr">
        <is>
          <t>Phát triển</t>
        </is>
      </c>
      <c r="D68" s="101">
        <f>B68&amp;C68</f>
        <v/>
      </c>
      <c r="E68" s="102" t="n">
        <v>15</v>
      </c>
    </row>
    <row r="69" ht="15" customHeight="1" s="52">
      <c r="A69" s="101" t="n">
        <v>66</v>
      </c>
      <c r="B69" s="101" t="inlineStr">
        <is>
          <t>CN_WEB2</t>
        </is>
      </c>
      <c r="C69" s="101" t="inlineStr">
        <is>
          <t>Kiểm thử</t>
        </is>
      </c>
      <c r="D69" s="101">
        <f>B69&amp;C69</f>
        <v/>
      </c>
      <c r="E69" s="102" t="n">
        <v>10</v>
      </c>
    </row>
    <row r="70" ht="15" customHeight="1" s="52">
      <c r="A70" s="101" t="n">
        <v>67</v>
      </c>
      <c r="B70" s="101" t="inlineStr">
        <is>
          <t>CN_WEB3</t>
        </is>
      </c>
      <c r="C70" s="101" t="inlineStr">
        <is>
          <t>Giải pháp</t>
        </is>
      </c>
      <c r="D70" s="101">
        <f>B70&amp;C70</f>
        <v/>
      </c>
      <c r="E70" s="102" t="n">
        <v>15</v>
      </c>
    </row>
    <row r="71" ht="15" customHeight="1" s="52">
      <c r="A71" s="101" t="n">
        <v>68</v>
      </c>
      <c r="B71" s="101" t="inlineStr">
        <is>
          <t>CN_WEB3</t>
        </is>
      </c>
      <c r="C71" s="101" t="inlineStr">
        <is>
          <t>Phát triển</t>
        </is>
      </c>
      <c r="D71" s="101">
        <f>B71&amp;C71</f>
        <v/>
      </c>
      <c r="E71" s="102" t="n">
        <v>21</v>
      </c>
    </row>
    <row r="72" ht="15" customHeight="1" s="52">
      <c r="A72" s="101" t="n">
        <v>69</v>
      </c>
      <c r="B72" s="101" t="inlineStr">
        <is>
          <t>CN_WEB3</t>
        </is>
      </c>
      <c r="C72" s="101" t="inlineStr">
        <is>
          <t>Kiểm thử</t>
        </is>
      </c>
      <c r="D72" s="101">
        <f>B72&amp;C72</f>
        <v/>
      </c>
      <c r="E72" s="102" t="n">
        <v>15</v>
      </c>
    </row>
    <row r="73" ht="15" customHeight="1" s="52">
      <c r="A73" s="101" t="n">
        <v>70</v>
      </c>
      <c r="B73" s="101" t="inlineStr">
        <is>
          <t>CN_MOBILE Client1</t>
        </is>
      </c>
      <c r="C73" s="101" t="inlineStr">
        <is>
          <t>Giải pháp</t>
        </is>
      </c>
      <c r="D73" s="101">
        <f>B73&amp;C73</f>
        <v/>
      </c>
      <c r="E73" s="102" t="n">
        <v>4</v>
      </c>
    </row>
    <row r="74" ht="15" customHeight="1" s="52">
      <c r="A74" s="101" t="n">
        <v>71</v>
      </c>
      <c r="B74" s="101" t="inlineStr">
        <is>
          <t>CN_MOBILE Client1</t>
        </is>
      </c>
      <c r="C74" s="101" t="inlineStr">
        <is>
          <t>Phát triển</t>
        </is>
      </c>
      <c r="D74" s="101">
        <f>B74&amp;C74</f>
        <v/>
      </c>
      <c r="E74" s="102" t="n">
        <v>8</v>
      </c>
    </row>
    <row r="75" ht="15" customHeight="1" s="52">
      <c r="A75" s="101" t="n">
        <v>72</v>
      </c>
      <c r="B75" s="101" t="inlineStr">
        <is>
          <t>CN_MOBILE Client1</t>
        </is>
      </c>
      <c r="C75" s="101" t="inlineStr">
        <is>
          <t>kiểm thử</t>
        </is>
      </c>
      <c r="D75" s="101">
        <f>B75&amp;C75</f>
        <v/>
      </c>
      <c r="E75" s="102" t="n">
        <v>4</v>
      </c>
    </row>
    <row r="76" ht="15" customHeight="1" s="52">
      <c r="A76" s="101" t="n">
        <v>73</v>
      </c>
      <c r="B76" s="101" t="inlineStr">
        <is>
          <t>CN_MOBILE Client2</t>
        </is>
      </c>
      <c r="C76" s="101" t="inlineStr">
        <is>
          <t>Giải pháp</t>
        </is>
      </c>
      <c r="D76" s="101">
        <f>B76&amp;C76</f>
        <v/>
      </c>
      <c r="E76" s="102" t="n">
        <v>8</v>
      </c>
    </row>
    <row r="77" ht="15" customHeight="1" s="52">
      <c r="A77" s="101" t="n">
        <v>74</v>
      </c>
      <c r="B77" s="101" t="inlineStr">
        <is>
          <t>CN_MOBILE Client2</t>
        </is>
      </c>
      <c r="C77" s="101" t="inlineStr">
        <is>
          <t>Phát triển</t>
        </is>
      </c>
      <c r="D77" s="101">
        <f>B77&amp;C77</f>
        <v/>
      </c>
      <c r="E77" s="102" t="n">
        <v>17.5</v>
      </c>
    </row>
    <row r="78" ht="15" customHeight="1" s="52">
      <c r="A78" s="101" t="n">
        <v>75</v>
      </c>
      <c r="B78" s="101" t="inlineStr">
        <is>
          <t>CN_MOBILE Client2</t>
        </is>
      </c>
      <c r="C78" s="101" t="inlineStr">
        <is>
          <t>kiểm thử</t>
        </is>
      </c>
      <c r="D78" s="101">
        <f>B78&amp;C78</f>
        <v/>
      </c>
      <c r="E78" s="102" t="n">
        <v>10.5</v>
      </c>
    </row>
    <row r="79" ht="15" customHeight="1" s="52">
      <c r="A79" s="101" t="n">
        <v>76</v>
      </c>
      <c r="B79" s="101" t="inlineStr">
        <is>
          <t>CN_MOBILE Client2_NC</t>
        </is>
      </c>
      <c r="C79" s="101" t="inlineStr">
        <is>
          <t>Giải pháp</t>
        </is>
      </c>
      <c r="D79" s="101">
        <f>B79&amp;C79</f>
        <v/>
      </c>
      <c r="E79" s="102" t="n">
        <v>4</v>
      </c>
    </row>
    <row r="80" ht="15" customHeight="1" s="52">
      <c r="A80" s="101" t="n">
        <v>77</v>
      </c>
      <c r="B80" s="101" t="inlineStr">
        <is>
          <t>CN_MOBILE Client2_NC</t>
        </is>
      </c>
      <c r="C80" s="101" t="inlineStr">
        <is>
          <t>Phát triển</t>
        </is>
      </c>
      <c r="D80" s="101">
        <f>B80&amp;C80</f>
        <v/>
      </c>
      <c r="E80" s="102" t="n">
        <v>8</v>
      </c>
    </row>
    <row r="81" ht="15" customHeight="1" s="52">
      <c r="A81" s="101" t="n">
        <v>78</v>
      </c>
      <c r="B81" s="101" t="inlineStr">
        <is>
          <t>CN_MOBILE Client2_NC</t>
        </is>
      </c>
      <c r="C81" s="101" t="inlineStr">
        <is>
          <t>kiểm thử</t>
        </is>
      </c>
      <c r="D81" s="101">
        <f>B81&amp;C81</f>
        <v/>
      </c>
      <c r="E81" s="102" t="n">
        <v>4</v>
      </c>
    </row>
    <row r="82" ht="15" customHeight="1" s="52">
      <c r="A82" s="101" t="n">
        <v>79</v>
      </c>
      <c r="B82" s="101" t="inlineStr">
        <is>
          <t>CN_MOBILE Client3</t>
        </is>
      </c>
      <c r="C82" s="101" t="inlineStr">
        <is>
          <t>Giải pháp</t>
        </is>
      </c>
      <c r="D82" s="101">
        <f>B82&amp;C82</f>
        <v/>
      </c>
      <c r="E82" s="102" t="n">
        <v>12</v>
      </c>
    </row>
    <row r="83" ht="15" customHeight="1" s="52">
      <c r="A83" s="101" t="n">
        <v>80</v>
      </c>
      <c r="B83" s="101" t="inlineStr">
        <is>
          <t>CN_MOBILE Client3</t>
        </is>
      </c>
      <c r="C83" s="101" t="inlineStr">
        <is>
          <t>Phát triển</t>
        </is>
      </c>
      <c r="D83" s="101">
        <f>B83&amp;C83</f>
        <v/>
      </c>
      <c r="E83" s="102" t="n">
        <v>28</v>
      </c>
    </row>
    <row r="84" ht="15" customHeight="1" s="52">
      <c r="A84" s="101" t="n">
        <v>81</v>
      </c>
      <c r="B84" s="101" t="inlineStr">
        <is>
          <t>CN_MOBILE Client3</t>
        </is>
      </c>
      <c r="C84" s="101" t="inlineStr">
        <is>
          <t>kiểm thử</t>
        </is>
      </c>
      <c r="D84" s="101">
        <f>B84&amp;C84</f>
        <v/>
      </c>
      <c r="E84" s="102" t="n">
        <v>16.8</v>
      </c>
    </row>
    <row r="85" ht="15" customHeight="1" s="52">
      <c r="A85" s="101" t="n">
        <v>82</v>
      </c>
      <c r="B85" s="101" t="inlineStr">
        <is>
          <t>CN_MOBILE Server1</t>
        </is>
      </c>
      <c r="C85" s="101" t="inlineStr">
        <is>
          <t>Giải pháp</t>
        </is>
      </c>
      <c r="D85" s="101">
        <f>B85&amp;C85</f>
        <v/>
      </c>
      <c r="E85" s="102" t="n">
        <v>4</v>
      </c>
    </row>
    <row r="86" ht="15" customHeight="1" s="52">
      <c r="A86" s="101" t="n">
        <v>83</v>
      </c>
      <c r="B86" s="101" t="inlineStr">
        <is>
          <t>CN_MOBILE Server1</t>
        </is>
      </c>
      <c r="C86" s="101" t="inlineStr">
        <is>
          <t>Phát triển</t>
        </is>
      </c>
      <c r="D86" s="101">
        <f>B86&amp;C86</f>
        <v/>
      </c>
      <c r="E86" s="102" t="n">
        <v>7.5</v>
      </c>
    </row>
    <row r="87" ht="15" customHeight="1" s="52">
      <c r="A87" s="101" t="n">
        <v>84</v>
      </c>
      <c r="B87" s="101" t="inlineStr">
        <is>
          <t>CN_MOBILE Server1</t>
        </is>
      </c>
      <c r="C87" s="101" t="inlineStr">
        <is>
          <t>kiểm thử</t>
        </is>
      </c>
      <c r="D87" s="101">
        <f>B87&amp;C87</f>
        <v/>
      </c>
      <c r="E87" s="102" t="n">
        <v>4</v>
      </c>
    </row>
    <row r="88" ht="15" customHeight="1" s="52">
      <c r="A88" s="101" t="n">
        <v>85</v>
      </c>
      <c r="B88" s="101" t="inlineStr">
        <is>
          <t>CN_MOBILE Server2</t>
        </is>
      </c>
      <c r="C88" s="101" t="inlineStr">
        <is>
          <t>Giải pháp</t>
        </is>
      </c>
      <c r="D88" s="101">
        <f>B88&amp;C88</f>
        <v/>
      </c>
      <c r="E88" s="102" t="n">
        <v>8</v>
      </c>
    </row>
    <row r="89" ht="15" customHeight="1" s="52">
      <c r="A89" s="101" t="n">
        <v>86</v>
      </c>
      <c r="B89" s="101" t="inlineStr">
        <is>
          <t>CN_MOBILE Server2</t>
        </is>
      </c>
      <c r="C89" s="101" t="inlineStr">
        <is>
          <t>Phát triển</t>
        </is>
      </c>
      <c r="D89" s="101">
        <f>B89&amp;C89</f>
        <v/>
      </c>
      <c r="E89" s="102" t="n">
        <v>14.8</v>
      </c>
    </row>
    <row r="90" ht="15" customHeight="1" s="52">
      <c r="A90" s="101" t="n">
        <v>87</v>
      </c>
      <c r="B90" s="101" t="inlineStr">
        <is>
          <t>CN_MOBILE Server2</t>
        </is>
      </c>
      <c r="C90" s="101" t="inlineStr">
        <is>
          <t>kiểm thử</t>
        </is>
      </c>
      <c r="D90" s="101">
        <f>B90&amp;C90</f>
        <v/>
      </c>
      <c r="E90" s="102" t="n">
        <v>9</v>
      </c>
    </row>
    <row r="91" ht="15" customHeight="1" s="52">
      <c r="A91" s="101" t="n">
        <v>88</v>
      </c>
      <c r="B91" s="101" t="inlineStr">
        <is>
          <t>CN_MOBILE Server3</t>
        </is>
      </c>
      <c r="C91" s="101" t="inlineStr">
        <is>
          <t>Giải pháp</t>
        </is>
      </c>
      <c r="D91" s="101">
        <f>B91&amp;C91</f>
        <v/>
      </c>
      <c r="E91" s="102" t="n">
        <v>15</v>
      </c>
    </row>
    <row r="92" ht="15" customHeight="1" s="52">
      <c r="A92" s="101" t="n">
        <v>89</v>
      </c>
      <c r="B92" s="101" t="inlineStr">
        <is>
          <t>CN_MOBILE Server3</t>
        </is>
      </c>
      <c r="C92" s="101" t="inlineStr">
        <is>
          <t>Phát triển</t>
        </is>
      </c>
      <c r="D92" s="101">
        <f>B92&amp;C92</f>
        <v/>
      </c>
      <c r="E92" s="102" t="n">
        <v>26</v>
      </c>
    </row>
    <row r="93" ht="15" customHeight="1" s="52">
      <c r="A93" s="101" t="n">
        <v>90</v>
      </c>
      <c r="B93" s="101" t="inlineStr">
        <is>
          <t>CN_MOBILE Server3</t>
        </is>
      </c>
      <c r="C93" s="101" t="inlineStr">
        <is>
          <t>kiểm thử</t>
        </is>
      </c>
      <c r="D93" s="101">
        <f>B93&amp;C93</f>
        <v/>
      </c>
      <c r="E93" s="102" t="n">
        <v>18</v>
      </c>
    </row>
    <row r="94" ht="15" customHeight="1" s="52">
      <c r="A94" s="101" t="n">
        <v>91</v>
      </c>
      <c r="B94" s="101" t="inlineStr">
        <is>
          <t>TT_DB1</t>
        </is>
      </c>
      <c r="C94" s="101" t="inlineStr">
        <is>
          <t>Giải pháp</t>
        </is>
      </c>
      <c r="D94" s="101">
        <f>B94&amp;C94</f>
        <v/>
      </c>
      <c r="E94" s="102" t="n">
        <v>7.36</v>
      </c>
    </row>
    <row r="95" ht="15" customHeight="1" s="52">
      <c r="A95" s="101" t="n">
        <v>92</v>
      </c>
      <c r="B95" s="101" t="inlineStr">
        <is>
          <t>TT_DB1</t>
        </is>
      </c>
      <c r="C95" s="101" t="inlineStr">
        <is>
          <t>Phát triển</t>
        </is>
      </c>
      <c r="D95" s="101">
        <f>B95&amp;C95</f>
        <v/>
      </c>
      <c r="E95" s="102" t="n">
        <v>8</v>
      </c>
    </row>
    <row r="96" ht="15" customHeight="1" s="52">
      <c r="A96" s="101" t="n">
        <v>93</v>
      </c>
      <c r="B96" s="101" t="inlineStr">
        <is>
          <t>TT_DB1</t>
        </is>
      </c>
      <c r="C96" s="101" t="inlineStr">
        <is>
          <t>kiểm thử</t>
        </is>
      </c>
      <c r="D96" s="101">
        <f>B96&amp;C96</f>
        <v/>
      </c>
      <c r="E96" s="102" t="n">
        <v>6.88</v>
      </c>
    </row>
    <row r="97" ht="15" customHeight="1" s="52">
      <c r="A97" s="101" t="n">
        <v>94</v>
      </c>
      <c r="B97" s="101" t="inlineStr">
        <is>
          <t>TT_DB2</t>
        </is>
      </c>
      <c r="C97" s="101" t="inlineStr">
        <is>
          <t>Giải pháp</t>
        </is>
      </c>
      <c r="D97" s="101">
        <f>B97&amp;C97</f>
        <v/>
      </c>
      <c r="E97" s="102" t="n">
        <v>11.04</v>
      </c>
    </row>
    <row r="98" ht="15" customHeight="1" s="52">
      <c r="A98" s="101" t="n">
        <v>95</v>
      </c>
      <c r="B98" s="101" t="inlineStr">
        <is>
          <t>TT_DB2</t>
        </is>
      </c>
      <c r="C98" s="101" t="inlineStr">
        <is>
          <t>Phát triển</t>
        </is>
      </c>
      <c r="D98" s="101">
        <f>B98&amp;C98</f>
        <v/>
      </c>
      <c r="E98" s="102" t="n">
        <v>16</v>
      </c>
    </row>
    <row r="99" ht="15" customHeight="1" s="52">
      <c r="A99" s="101" t="n">
        <v>96</v>
      </c>
      <c r="B99" s="101" t="inlineStr">
        <is>
          <t>TT_DB2</t>
        </is>
      </c>
      <c r="C99" s="101" t="inlineStr">
        <is>
          <t>kiểm thử</t>
        </is>
      </c>
      <c r="D99" s="101">
        <f>B99&amp;C99</f>
        <v/>
      </c>
      <c r="E99" s="102" t="n">
        <v>10.4</v>
      </c>
    </row>
    <row r="100" ht="15" customHeight="1" s="52">
      <c r="A100" s="101" t="n">
        <v>97</v>
      </c>
      <c r="B100" s="101" t="inlineStr">
        <is>
          <t>TT_DB3</t>
        </is>
      </c>
      <c r="C100" s="101" t="inlineStr">
        <is>
          <t>Giải pháp</t>
        </is>
      </c>
      <c r="D100" s="101">
        <f>B100&amp;C100</f>
        <v/>
      </c>
      <c r="E100" s="102" t="n">
        <v>14.72</v>
      </c>
    </row>
    <row r="101" ht="15" customHeight="1" s="52">
      <c r="A101" s="101" t="n">
        <v>98</v>
      </c>
      <c r="B101" s="101" t="inlineStr">
        <is>
          <t>TT_DB3</t>
        </is>
      </c>
      <c r="C101" s="101" t="inlineStr">
        <is>
          <t>Phát triển</t>
        </is>
      </c>
      <c r="D101" s="101">
        <f>B101&amp;C101</f>
        <v/>
      </c>
      <c r="E101" s="102" t="n">
        <v>24</v>
      </c>
    </row>
    <row r="102" ht="15" customHeight="1" s="52">
      <c r="A102" s="101" t="n">
        <v>99</v>
      </c>
      <c r="B102" s="101" t="inlineStr">
        <is>
          <t>TT_DB3</t>
        </is>
      </c>
      <c r="C102" s="101" t="inlineStr">
        <is>
          <t>kiểm thử</t>
        </is>
      </c>
      <c r="D102" s="101">
        <f>B102&amp;C102</f>
        <v/>
      </c>
      <c r="E102" s="102" t="n">
        <v>13.84</v>
      </c>
    </row>
    <row r="103" ht="15" customHeight="1" s="52">
      <c r="A103" s="101" t="n">
        <v>100</v>
      </c>
      <c r="B103" s="101" t="inlineStr">
        <is>
          <t>FW_GSM1</t>
        </is>
      </c>
      <c r="C103" s="101" t="inlineStr">
        <is>
          <t>Giải pháp</t>
        </is>
      </c>
      <c r="D103" s="101">
        <f>B103&amp;C103</f>
        <v/>
      </c>
      <c r="E103" s="102" t="n">
        <v>20</v>
      </c>
    </row>
    <row r="104" ht="15" customHeight="1" s="52">
      <c r="A104" s="101" t="n">
        <v>101</v>
      </c>
      <c r="B104" s="101" t="inlineStr">
        <is>
          <t>FW_GSM1</t>
        </is>
      </c>
      <c r="C104" s="101" t="inlineStr">
        <is>
          <t>Phát triển</t>
        </is>
      </c>
      <c r="D104" s="101">
        <f>B104&amp;C104</f>
        <v/>
      </c>
      <c r="E104" s="102" t="n">
        <v>32</v>
      </c>
    </row>
    <row r="105" ht="15" customHeight="1" s="52">
      <c r="A105" s="101" t="n">
        <v>102</v>
      </c>
      <c r="B105" s="101" t="inlineStr">
        <is>
          <t>FW_GSM1</t>
        </is>
      </c>
      <c r="C105" s="101" t="inlineStr">
        <is>
          <t>kiểm thử</t>
        </is>
      </c>
      <c r="D105" s="101">
        <f>B105&amp;C105</f>
        <v/>
      </c>
      <c r="E105" s="102" t="n">
        <v>24</v>
      </c>
    </row>
    <row r="106" ht="15" customHeight="1" s="52">
      <c r="A106" s="101" t="n">
        <v>103</v>
      </c>
      <c r="B106" s="101" t="inlineStr">
        <is>
          <t>FW_GSM2</t>
        </is>
      </c>
      <c r="C106" s="101" t="inlineStr">
        <is>
          <t>Giải pháp</t>
        </is>
      </c>
      <c r="D106" s="101">
        <f>B106&amp;C106</f>
        <v/>
      </c>
      <c r="E106" s="102" t="n">
        <v>26</v>
      </c>
    </row>
    <row r="107" ht="15" customHeight="1" s="52">
      <c r="A107" s="101" t="n">
        <v>104</v>
      </c>
      <c r="B107" s="101" t="inlineStr">
        <is>
          <t>FW_GSM2</t>
        </is>
      </c>
      <c r="C107" s="101" t="inlineStr">
        <is>
          <t>Phát triển</t>
        </is>
      </c>
      <c r="D107" s="101">
        <f>B107&amp;C107</f>
        <v/>
      </c>
      <c r="E107" s="102" t="n">
        <v>40</v>
      </c>
    </row>
    <row r="108" ht="15" customHeight="1" s="52">
      <c r="A108" s="101" t="n">
        <v>105</v>
      </c>
      <c r="B108" s="101" t="inlineStr">
        <is>
          <t>FW_GSM2</t>
        </is>
      </c>
      <c r="C108" s="101" t="inlineStr">
        <is>
          <t>kiểm thử</t>
        </is>
      </c>
      <c r="D108" s="101">
        <f>B108&amp;C108</f>
        <v/>
      </c>
      <c r="E108" s="102" t="n">
        <v>28</v>
      </c>
    </row>
    <row r="109" ht="15" customHeight="1" s="52">
      <c r="A109" s="101" t="n">
        <v>106</v>
      </c>
      <c r="B109" s="101" t="inlineStr">
        <is>
          <t>FW_GSM3</t>
        </is>
      </c>
      <c r="C109" s="101" t="inlineStr">
        <is>
          <t>Giải pháp</t>
        </is>
      </c>
      <c r="D109" s="101">
        <f>B109&amp;C109</f>
        <v/>
      </c>
      <c r="E109" s="102" t="n">
        <v>32</v>
      </c>
    </row>
    <row r="110" ht="15" customHeight="1" s="52">
      <c r="A110" s="101" t="n">
        <v>107</v>
      </c>
      <c r="B110" s="101" t="inlineStr">
        <is>
          <t>FW_GSM3</t>
        </is>
      </c>
      <c r="C110" s="101" t="inlineStr">
        <is>
          <t>Phát triển</t>
        </is>
      </c>
      <c r="D110" s="101">
        <f>B110&amp;C110</f>
        <v/>
      </c>
      <c r="E110" s="102" t="n">
        <v>48</v>
      </c>
    </row>
    <row r="111" ht="15" customHeight="1" s="52">
      <c r="A111" s="101" t="n">
        <v>108</v>
      </c>
      <c r="B111" s="101" t="inlineStr">
        <is>
          <t>FW_GSM3</t>
        </is>
      </c>
      <c r="C111" s="101" t="inlineStr">
        <is>
          <t>kiểm thử</t>
        </is>
      </c>
      <c r="D111" s="101">
        <f>B111&amp;C111</f>
        <v/>
      </c>
      <c r="E111" s="102" t="n">
        <v>32</v>
      </c>
    </row>
    <row r="112" ht="15" customHeight="1" s="52">
      <c r="A112" s="101" t="n">
        <v>109</v>
      </c>
      <c r="B112" s="101" t="inlineStr">
        <is>
          <t>FW_SSL1</t>
        </is>
      </c>
      <c r="C112" s="101" t="inlineStr">
        <is>
          <t>Giải pháp</t>
        </is>
      </c>
      <c r="D112" s="101">
        <f>B112&amp;C112</f>
        <v/>
      </c>
      <c r="E112" s="102" t="n">
        <v>20</v>
      </c>
    </row>
    <row r="113" ht="15" customHeight="1" s="52">
      <c r="A113" s="101" t="n">
        <v>110</v>
      </c>
      <c r="B113" s="101" t="inlineStr">
        <is>
          <t>FW_SSL1</t>
        </is>
      </c>
      <c r="C113" s="101" t="inlineStr">
        <is>
          <t>Phát triển</t>
        </is>
      </c>
      <c r="D113" s="101">
        <f>B113&amp;C113</f>
        <v/>
      </c>
      <c r="E113" s="102" t="n">
        <v>32</v>
      </c>
    </row>
    <row r="114" ht="15" customHeight="1" s="52">
      <c r="A114" s="101" t="n">
        <v>111</v>
      </c>
      <c r="B114" s="101" t="inlineStr">
        <is>
          <t>FW_SSL1</t>
        </is>
      </c>
      <c r="C114" s="101" t="inlineStr">
        <is>
          <t>kiểm thử</t>
        </is>
      </c>
      <c r="D114" s="101">
        <f>B114&amp;C114</f>
        <v/>
      </c>
      <c r="E114" s="102" t="n">
        <v>24</v>
      </c>
    </row>
    <row r="115" ht="15" customHeight="1" s="52">
      <c r="A115" s="101" t="n">
        <v>112</v>
      </c>
      <c r="B115" s="101" t="inlineStr">
        <is>
          <t>FW_SSL2</t>
        </is>
      </c>
      <c r="C115" s="101" t="inlineStr">
        <is>
          <t>Giải pháp</t>
        </is>
      </c>
      <c r="D115" s="101">
        <f>B115&amp;C115</f>
        <v/>
      </c>
      <c r="E115" s="102" t="n">
        <v>26</v>
      </c>
    </row>
    <row r="116" ht="15" customHeight="1" s="52">
      <c r="A116" s="101" t="n">
        <v>113</v>
      </c>
      <c r="B116" s="101" t="inlineStr">
        <is>
          <t>FW_SSL2</t>
        </is>
      </c>
      <c r="C116" s="101" t="inlineStr">
        <is>
          <t>Phát triển</t>
        </is>
      </c>
      <c r="D116" s="101">
        <f>B116&amp;C116</f>
        <v/>
      </c>
      <c r="E116" s="102" t="n">
        <v>40</v>
      </c>
    </row>
    <row r="117" ht="15" customHeight="1" s="52">
      <c r="A117" s="101" t="n">
        <v>114</v>
      </c>
      <c r="B117" s="101" t="inlineStr">
        <is>
          <t>FW_SSL2</t>
        </is>
      </c>
      <c r="C117" s="101" t="inlineStr">
        <is>
          <t>kiểm thử</t>
        </is>
      </c>
      <c r="D117" s="101">
        <f>B117&amp;C117</f>
        <v/>
      </c>
      <c r="E117" s="102" t="n">
        <v>28</v>
      </c>
    </row>
    <row r="118" ht="15" customHeight="1" s="52">
      <c r="A118" s="101" t="n">
        <v>115</v>
      </c>
      <c r="B118" s="101" t="inlineStr">
        <is>
          <t>FW_SSL3</t>
        </is>
      </c>
      <c r="C118" s="101" t="inlineStr">
        <is>
          <t>Giải pháp</t>
        </is>
      </c>
      <c r="D118" s="101">
        <f>B118&amp;C118</f>
        <v/>
      </c>
      <c r="E118" s="102" t="n">
        <v>32</v>
      </c>
    </row>
    <row r="119" ht="15" customHeight="1" s="52">
      <c r="A119" s="101" t="n">
        <v>116</v>
      </c>
      <c r="B119" s="101" t="inlineStr">
        <is>
          <t>FW_SSL3</t>
        </is>
      </c>
      <c r="C119" s="101" t="inlineStr">
        <is>
          <t>Phát triển</t>
        </is>
      </c>
      <c r="D119" s="101">
        <f>B119&amp;C119</f>
        <v/>
      </c>
      <c r="E119" s="102" t="n">
        <v>48</v>
      </c>
    </row>
    <row r="120" ht="15" customHeight="1" s="52">
      <c r="A120" s="101" t="n">
        <v>117</v>
      </c>
      <c r="B120" s="101" t="inlineStr">
        <is>
          <t>FW_SSL3</t>
        </is>
      </c>
      <c r="C120" s="101" t="inlineStr">
        <is>
          <t>kiểm thử</t>
        </is>
      </c>
      <c r="D120" s="101">
        <f>B120&amp;C120</f>
        <v/>
      </c>
      <c r="E120" s="102" t="n">
        <v>32</v>
      </c>
    </row>
    <row r="121" ht="15" customHeight="1" s="52">
      <c r="A121" s="101" t="n">
        <v>118</v>
      </c>
      <c r="B121" s="101" t="inlineStr">
        <is>
          <t>FW_ADC1</t>
        </is>
      </c>
      <c r="C121" s="101" t="inlineStr">
        <is>
          <t>Giải pháp</t>
        </is>
      </c>
      <c r="D121" s="101">
        <f>B121&amp;C121</f>
        <v/>
      </c>
      <c r="E121" s="102" t="n">
        <v>20</v>
      </c>
    </row>
    <row r="122" ht="15" customHeight="1" s="52">
      <c r="A122" s="101" t="n">
        <v>119</v>
      </c>
      <c r="B122" s="101" t="inlineStr">
        <is>
          <t>FW_ADC1</t>
        </is>
      </c>
      <c r="C122" s="101" t="inlineStr">
        <is>
          <t>Phát triển</t>
        </is>
      </c>
      <c r="D122" s="101">
        <f>B122&amp;C122</f>
        <v/>
      </c>
      <c r="E122" s="102" t="n">
        <v>32</v>
      </c>
    </row>
    <row r="123" ht="15" customHeight="1" s="52">
      <c r="A123" s="101" t="n">
        <v>120</v>
      </c>
      <c r="B123" s="101" t="inlineStr">
        <is>
          <t>FW_ADC1</t>
        </is>
      </c>
      <c r="C123" s="101" t="inlineStr">
        <is>
          <t>kiểm thử</t>
        </is>
      </c>
      <c r="D123" s="101">
        <f>B123&amp;C123</f>
        <v/>
      </c>
      <c r="E123" s="102" t="n">
        <v>24</v>
      </c>
    </row>
    <row r="124" ht="15" customHeight="1" s="52">
      <c r="A124" s="101" t="n">
        <v>121</v>
      </c>
      <c r="B124" s="101" t="inlineStr">
        <is>
          <t>FW_ADC2</t>
        </is>
      </c>
      <c r="C124" s="101" t="inlineStr">
        <is>
          <t>Giải pháp</t>
        </is>
      </c>
      <c r="D124" s="101">
        <f>B124&amp;C124</f>
        <v/>
      </c>
      <c r="E124" s="102" t="n">
        <v>26</v>
      </c>
    </row>
    <row r="125" ht="15" customHeight="1" s="52">
      <c r="A125" s="101" t="n">
        <v>122</v>
      </c>
      <c r="B125" s="101" t="inlineStr">
        <is>
          <t>FW_ADC2</t>
        </is>
      </c>
      <c r="C125" s="101" t="inlineStr">
        <is>
          <t>Phát triển</t>
        </is>
      </c>
      <c r="D125" s="101">
        <f>B125&amp;C125</f>
        <v/>
      </c>
      <c r="E125" s="102" t="n">
        <v>40</v>
      </c>
    </row>
    <row r="126" ht="15" customHeight="1" s="52">
      <c r="A126" s="101" t="n">
        <v>123</v>
      </c>
      <c r="B126" s="101" t="inlineStr">
        <is>
          <t>FW_ADC2</t>
        </is>
      </c>
      <c r="C126" s="101" t="inlineStr">
        <is>
          <t>kiểm thử</t>
        </is>
      </c>
      <c r="D126" s="101">
        <f>B126&amp;C126</f>
        <v/>
      </c>
      <c r="E126" s="102" t="n">
        <v>28</v>
      </c>
    </row>
    <row r="127" ht="15" customHeight="1" s="52">
      <c r="A127" s="101" t="n">
        <v>124</v>
      </c>
      <c r="B127" s="101" t="inlineStr">
        <is>
          <t>FW_ADC3</t>
        </is>
      </c>
      <c r="C127" s="101" t="inlineStr">
        <is>
          <t>Giải pháp</t>
        </is>
      </c>
      <c r="D127" s="101">
        <f>B127&amp;C127</f>
        <v/>
      </c>
      <c r="E127" s="102" t="n">
        <v>32</v>
      </c>
    </row>
    <row r="128" ht="15" customHeight="1" s="52">
      <c r="A128" s="101" t="n">
        <v>125</v>
      </c>
      <c r="B128" s="101" t="inlineStr">
        <is>
          <t>FW_ADC3</t>
        </is>
      </c>
      <c r="C128" s="101" t="inlineStr">
        <is>
          <t>Phát triển</t>
        </is>
      </c>
      <c r="D128" s="101">
        <f>B128&amp;C128</f>
        <v/>
      </c>
      <c r="E128" s="102" t="n">
        <v>48</v>
      </c>
    </row>
    <row r="129" ht="15" customHeight="1" s="52">
      <c r="A129" s="101" t="n">
        <v>126</v>
      </c>
      <c r="B129" s="101" t="inlineStr">
        <is>
          <t>FW_ADC3</t>
        </is>
      </c>
      <c r="C129" s="101" t="inlineStr">
        <is>
          <t>kiểm thử</t>
        </is>
      </c>
      <c r="D129" s="101">
        <f>B129&amp;C129</f>
        <v/>
      </c>
      <c r="E129" s="102" t="n">
        <v>32</v>
      </c>
    </row>
    <row r="130" ht="15" customHeight="1" s="52">
      <c r="A130" s="101" t="n">
        <v>127</v>
      </c>
      <c r="B130" s="101" t="inlineStr">
        <is>
          <t>CSI_NORMAL_1</t>
        </is>
      </c>
      <c r="C130" s="101" t="inlineStr">
        <is>
          <t>Giải pháp</t>
        </is>
      </c>
      <c r="D130" s="101">
        <f>B130&amp;C130</f>
        <v/>
      </c>
      <c r="E130" s="102" t="n">
        <v>24</v>
      </c>
    </row>
    <row r="131" ht="15" customHeight="1" s="52">
      <c r="A131" s="101" t="n">
        <v>128</v>
      </c>
      <c r="B131" s="101" t="inlineStr">
        <is>
          <t>CSI_NORMAL_1</t>
        </is>
      </c>
      <c r="C131" s="101" t="inlineStr">
        <is>
          <t>Phát triển</t>
        </is>
      </c>
      <c r="D131" s="101">
        <f>B131&amp;C131</f>
        <v/>
      </c>
      <c r="E131" s="102" t="n">
        <v>6</v>
      </c>
    </row>
    <row r="132" ht="15" customHeight="1" s="52">
      <c r="A132" s="101" t="n">
        <v>129</v>
      </c>
      <c r="B132" s="101" t="inlineStr">
        <is>
          <t>CSI_NORMAL_1</t>
        </is>
      </c>
      <c r="C132" s="101" t="inlineStr">
        <is>
          <t>Kiểm thử</t>
        </is>
      </c>
      <c r="D132" s="101">
        <f>B132&amp;C132</f>
        <v/>
      </c>
      <c r="E132" s="102" t="n">
        <v>12</v>
      </c>
    </row>
    <row r="133" ht="15" customHeight="1" s="52">
      <c r="A133" s="101" t="n">
        <v>130</v>
      </c>
      <c r="B133" s="101" t="inlineStr">
        <is>
          <t>CSI_NORMAL_2</t>
        </is>
      </c>
      <c r="C133" s="101" t="inlineStr">
        <is>
          <t>Giải pháp</t>
        </is>
      </c>
      <c r="D133" s="101">
        <f>B133&amp;C133</f>
        <v/>
      </c>
      <c r="E133" s="102" t="n">
        <v>40</v>
      </c>
    </row>
    <row r="134" ht="15" customHeight="1" s="52">
      <c r="A134" s="101" t="n">
        <v>131</v>
      </c>
      <c r="B134" s="101" t="inlineStr">
        <is>
          <t>CSI_NORMAL_2</t>
        </is>
      </c>
      <c r="C134" s="101" t="inlineStr">
        <is>
          <t>Phát triển</t>
        </is>
      </c>
      <c r="D134" s="101">
        <f>B134&amp;C134</f>
        <v/>
      </c>
      <c r="E134" s="102" t="n">
        <v>10</v>
      </c>
    </row>
    <row r="135" ht="15" customHeight="1" s="52">
      <c r="A135" s="101" t="n">
        <v>132</v>
      </c>
      <c r="B135" s="101" t="inlineStr">
        <is>
          <t>CSI_NORMAL_2</t>
        </is>
      </c>
      <c r="C135" s="101" t="inlineStr">
        <is>
          <t>Kiểm thử</t>
        </is>
      </c>
      <c r="D135" s="101">
        <f>B135&amp;C135</f>
        <v/>
      </c>
      <c r="E135" s="102" t="n">
        <v>20</v>
      </c>
    </row>
    <row r="136" ht="15" customHeight="1" s="52">
      <c r="A136" s="101" t="n">
        <v>133</v>
      </c>
      <c r="B136" s="101" t="inlineStr">
        <is>
          <t>CSI_NORMAL_3</t>
        </is>
      </c>
      <c r="C136" s="101" t="inlineStr">
        <is>
          <t>Giải pháp</t>
        </is>
      </c>
      <c r="D136" s="101">
        <f>B136&amp;C136</f>
        <v/>
      </c>
      <c r="E136" s="102" t="n">
        <v>64</v>
      </c>
    </row>
    <row r="137" ht="15" customHeight="1" s="52">
      <c r="A137" s="101" t="n">
        <v>134</v>
      </c>
      <c r="B137" s="101" t="inlineStr">
        <is>
          <t>CSI_NORMAL_3</t>
        </is>
      </c>
      <c r="C137" s="101" t="inlineStr">
        <is>
          <t>Phát triển</t>
        </is>
      </c>
      <c r="D137" s="101">
        <f>B137&amp;C137</f>
        <v/>
      </c>
      <c r="E137" s="102" t="n">
        <v>16</v>
      </c>
    </row>
    <row r="138" ht="15" customHeight="1" s="52">
      <c r="A138" s="101" t="n">
        <v>135</v>
      </c>
      <c r="B138" s="101" t="inlineStr">
        <is>
          <t>CSI_NORMAL_3</t>
        </is>
      </c>
      <c r="C138" s="101" t="inlineStr">
        <is>
          <t>Kiểm thử</t>
        </is>
      </c>
      <c r="D138" s="101">
        <f>B138&amp;C138</f>
        <v/>
      </c>
      <c r="E138" s="102" t="n">
        <v>32</v>
      </c>
    </row>
    <row r="139" ht="15" customHeight="1" s="52">
      <c r="A139" s="101" t="n">
        <v>136</v>
      </c>
      <c r="B139" s="101" t="inlineStr">
        <is>
          <t>DM3</t>
        </is>
      </c>
      <c r="C139" s="101" t="inlineStr">
        <is>
          <t>Giải pháp</t>
        </is>
      </c>
      <c r="D139" s="101">
        <f>B139&amp;C139</f>
        <v/>
      </c>
      <c r="E139" s="102" t="n">
        <v>6</v>
      </c>
    </row>
    <row r="140" ht="15" customHeight="1" s="52">
      <c r="A140" s="101" t="n">
        <v>137</v>
      </c>
      <c r="B140" s="101" t="inlineStr">
        <is>
          <t>DM3</t>
        </is>
      </c>
      <c r="C140" s="101" t="inlineStr">
        <is>
          <t>Phát triển</t>
        </is>
      </c>
      <c r="D140" s="101">
        <f>B140&amp;C140</f>
        <v/>
      </c>
      <c r="E140" s="102" t="n">
        <v>16</v>
      </c>
    </row>
    <row r="141" ht="15" customHeight="1" s="52">
      <c r="A141" s="101" t="n">
        <v>138</v>
      </c>
      <c r="B141" s="101" t="inlineStr">
        <is>
          <t>DM3</t>
        </is>
      </c>
      <c r="C141" s="101" t="inlineStr">
        <is>
          <t>Kiểm thử</t>
        </is>
      </c>
      <c r="D141" s="101">
        <f>B141&amp;C141</f>
        <v/>
      </c>
      <c r="E141" s="102" t="n">
        <v>16</v>
      </c>
    </row>
    <row r="142" ht="15" customHeight="1" s="52">
      <c r="A142" s="101" t="n">
        <v>139</v>
      </c>
      <c r="B142" s="101" t="inlineStr">
        <is>
          <t>DP_IMP1</t>
        </is>
      </c>
      <c r="C142" s="101" t="inlineStr">
        <is>
          <t>Giải pháp</t>
        </is>
      </c>
      <c r="D142" s="101">
        <f>B142&amp;C142</f>
        <v/>
      </c>
      <c r="E142" s="102" t="n">
        <v>4</v>
      </c>
    </row>
    <row r="143" ht="15" customHeight="1" s="52">
      <c r="A143" s="101" t="n">
        <v>140</v>
      </c>
      <c r="B143" s="101" t="inlineStr">
        <is>
          <t>DP_IMP1</t>
        </is>
      </c>
      <c r="C143" s="101" t="inlineStr">
        <is>
          <t>Phát triển</t>
        </is>
      </c>
      <c r="D143" s="101">
        <f>B143&amp;C143</f>
        <v/>
      </c>
      <c r="E143" s="102" t="n">
        <v>4</v>
      </c>
    </row>
    <row r="144" ht="15" customHeight="1" s="52">
      <c r="A144" s="101" t="n">
        <v>141</v>
      </c>
      <c r="B144" s="101" t="inlineStr">
        <is>
          <t>DP_IMP1</t>
        </is>
      </c>
      <c r="C144" s="101" t="inlineStr">
        <is>
          <t>Kiểm thử</t>
        </is>
      </c>
      <c r="D144" s="101">
        <f>B144&amp;C144</f>
        <v/>
      </c>
      <c r="E144" s="102" t="n">
        <v>3.5</v>
      </c>
    </row>
    <row r="145" ht="15" customHeight="1" s="52">
      <c r="A145" s="101" t="n">
        <v>142</v>
      </c>
      <c r="B145" s="101" t="inlineStr">
        <is>
          <t>DP_IMP2</t>
        </is>
      </c>
      <c r="C145" s="101" t="inlineStr">
        <is>
          <t>Giải pháp</t>
        </is>
      </c>
      <c r="D145" s="101">
        <f>B145&amp;C145</f>
        <v/>
      </c>
      <c r="E145" s="102" t="n">
        <v>7.5</v>
      </c>
    </row>
    <row r="146" ht="15" customHeight="1" s="52">
      <c r="A146" s="101" t="n">
        <v>143</v>
      </c>
      <c r="B146" s="101" t="inlineStr">
        <is>
          <t>DP_IMP2</t>
        </is>
      </c>
      <c r="C146" s="101" t="inlineStr">
        <is>
          <t>Phát triển</t>
        </is>
      </c>
      <c r="D146" s="101">
        <f>B146&amp;C146</f>
        <v/>
      </c>
      <c r="E146" s="102" t="n">
        <v>12</v>
      </c>
    </row>
    <row r="147" ht="15" customHeight="1" s="52">
      <c r="A147" s="101" t="n">
        <v>144</v>
      </c>
      <c r="B147" s="101" t="inlineStr">
        <is>
          <t>DP_IMP2</t>
        </is>
      </c>
      <c r="C147" s="101" t="inlineStr">
        <is>
          <t>Kiểm thử</t>
        </is>
      </c>
      <c r="D147" s="101">
        <f>B147&amp;C147</f>
        <v/>
      </c>
      <c r="E147" s="102" t="n">
        <v>7</v>
      </c>
    </row>
    <row r="148" ht="15" customHeight="1" s="52">
      <c r="A148" s="101" t="n">
        <v>145</v>
      </c>
      <c r="B148" s="101" t="inlineStr">
        <is>
          <t>DP_IMP3</t>
        </is>
      </c>
      <c r="C148" s="101" t="inlineStr">
        <is>
          <t>Giải pháp</t>
        </is>
      </c>
      <c r="D148" s="101">
        <f>B148&amp;C148</f>
        <v/>
      </c>
      <c r="E148" s="102" t="n">
        <v>11</v>
      </c>
    </row>
    <row r="149" ht="15" customHeight="1" s="52">
      <c r="A149" s="101" t="n">
        <v>146</v>
      </c>
      <c r="B149" s="101" t="inlineStr">
        <is>
          <t>DP_IMP3</t>
        </is>
      </c>
      <c r="C149" s="101" t="inlineStr">
        <is>
          <t>Phát triển</t>
        </is>
      </c>
      <c r="D149" s="101">
        <f>B149&amp;C149</f>
        <v/>
      </c>
      <c r="E149" s="102" t="n">
        <v>16</v>
      </c>
    </row>
    <row r="150" ht="15" customHeight="1" s="52">
      <c r="A150" s="101" t="n">
        <v>147</v>
      </c>
      <c r="B150" s="101" t="inlineStr">
        <is>
          <t>DP_IMP3</t>
        </is>
      </c>
      <c r="C150" s="101" t="inlineStr">
        <is>
          <t>Kiểm thử</t>
        </is>
      </c>
      <c r="D150" s="101">
        <f>B150&amp;C150</f>
        <v/>
      </c>
      <c r="E150" s="102" t="n">
        <v>10.5</v>
      </c>
    </row>
    <row r="151" ht="15" customHeight="1" s="52">
      <c r="A151" s="101" t="n">
        <v>148</v>
      </c>
      <c r="B151" s="101" t="inlineStr">
        <is>
          <t>DP_EXP1</t>
        </is>
      </c>
      <c r="C151" s="101" t="inlineStr">
        <is>
          <t>Giải pháp</t>
        </is>
      </c>
      <c r="D151" s="101">
        <f>B151&amp;C151</f>
        <v/>
      </c>
      <c r="E151" s="102" t="n">
        <v>4</v>
      </c>
    </row>
    <row r="152" ht="15" customHeight="1" s="52">
      <c r="A152" s="101" t="n">
        <v>149</v>
      </c>
      <c r="B152" s="101" t="inlineStr">
        <is>
          <t>DP_EXP1</t>
        </is>
      </c>
      <c r="C152" s="101" t="inlineStr">
        <is>
          <t>Phát triển</t>
        </is>
      </c>
      <c r="D152" s="101">
        <f>B152&amp;C152</f>
        <v/>
      </c>
      <c r="E152" s="102" t="n">
        <v>4</v>
      </c>
    </row>
    <row r="153" ht="15" customHeight="1" s="52">
      <c r="A153" s="101" t="n">
        <v>150</v>
      </c>
      <c r="B153" s="101" t="inlineStr">
        <is>
          <t>DP_EXP1</t>
        </is>
      </c>
      <c r="C153" s="101" t="inlineStr">
        <is>
          <t>Kiểm thử</t>
        </is>
      </c>
      <c r="D153" s="101">
        <f>B153&amp;C153</f>
        <v/>
      </c>
      <c r="E153" s="102" t="n">
        <v>3.5</v>
      </c>
    </row>
    <row r="154" ht="15" customHeight="1" s="52">
      <c r="A154" s="101" t="n">
        <v>151</v>
      </c>
      <c r="B154" s="101" t="inlineStr">
        <is>
          <t>DP_AGG1</t>
        </is>
      </c>
      <c r="C154" s="101" t="inlineStr">
        <is>
          <t>Giải pháp</t>
        </is>
      </c>
      <c r="D154" s="101">
        <f>B154&amp;C154</f>
        <v/>
      </c>
      <c r="E154" s="102" t="n">
        <v>6</v>
      </c>
    </row>
    <row r="155" ht="15" customHeight="1" s="52">
      <c r="A155" s="101" t="n">
        <v>152</v>
      </c>
      <c r="B155" s="101" t="inlineStr">
        <is>
          <t>DP_AGG1</t>
        </is>
      </c>
      <c r="C155" s="101" t="inlineStr">
        <is>
          <t>Phát triển</t>
        </is>
      </c>
      <c r="D155" s="101">
        <f>B155&amp;C155</f>
        <v/>
      </c>
      <c r="E155" s="102" t="n">
        <v>6</v>
      </c>
    </row>
    <row r="156" ht="15" customHeight="1" s="52">
      <c r="A156" s="101" t="n">
        <v>153</v>
      </c>
      <c r="B156" s="101" t="inlineStr">
        <is>
          <t>DP_AGG1</t>
        </is>
      </c>
      <c r="C156" s="101" t="inlineStr">
        <is>
          <t>Kiểm thử</t>
        </is>
      </c>
      <c r="D156" s="101">
        <f>B156&amp;C156</f>
        <v/>
      </c>
      <c r="E156" s="102" t="n">
        <v>5.5</v>
      </c>
    </row>
    <row r="157" ht="15" customHeight="1" s="52">
      <c r="A157" s="101" t="n">
        <v>154</v>
      </c>
      <c r="B157" s="101" t="inlineStr">
        <is>
          <t>DP_AGG2</t>
        </is>
      </c>
      <c r="C157" s="101" t="inlineStr">
        <is>
          <t>Giải pháp</t>
        </is>
      </c>
      <c r="D157" s="101">
        <f>B157&amp;C157</f>
        <v/>
      </c>
      <c r="E157" s="102" t="n">
        <v>8.5</v>
      </c>
    </row>
    <row r="158" ht="15" customHeight="1" s="52">
      <c r="A158" s="101" t="n">
        <v>155</v>
      </c>
      <c r="B158" s="101" t="inlineStr">
        <is>
          <t>DP_AGG2</t>
        </is>
      </c>
      <c r="C158" s="101" t="inlineStr">
        <is>
          <t>Phát triển</t>
        </is>
      </c>
      <c r="D158" s="101">
        <f>B158&amp;C158</f>
        <v/>
      </c>
      <c r="E158" s="102" t="n">
        <v>16</v>
      </c>
    </row>
    <row r="159" ht="15" customHeight="1" s="52">
      <c r="A159" s="101" t="n">
        <v>156</v>
      </c>
      <c r="B159" s="101" t="inlineStr">
        <is>
          <t>DP_AGG2</t>
        </is>
      </c>
      <c r="C159" s="101" t="inlineStr">
        <is>
          <t>Kiểm thử</t>
        </is>
      </c>
      <c r="D159" s="101">
        <f>B159&amp;C159</f>
        <v/>
      </c>
      <c r="E159" s="102" t="n">
        <v>9</v>
      </c>
    </row>
    <row r="160" ht="15" customHeight="1" s="52">
      <c r="A160" s="101" t="n">
        <v>157</v>
      </c>
      <c r="B160" s="101" t="inlineStr">
        <is>
          <t>DP_AGG3</t>
        </is>
      </c>
      <c r="C160" s="101" t="inlineStr">
        <is>
          <t>Giải pháp</t>
        </is>
      </c>
      <c r="D160" s="101">
        <f>B160&amp;C160</f>
        <v/>
      </c>
      <c r="E160" s="102" t="n">
        <v>12</v>
      </c>
    </row>
    <row r="161" ht="15" customHeight="1" s="52">
      <c r="A161" s="101" t="n">
        <v>158</v>
      </c>
      <c r="B161" s="101" t="inlineStr">
        <is>
          <t>DP_AGG3</t>
        </is>
      </c>
      <c r="C161" s="101" t="inlineStr">
        <is>
          <t>Phát triển</t>
        </is>
      </c>
      <c r="D161" s="101">
        <f>B161&amp;C161</f>
        <v/>
      </c>
      <c r="E161" s="102" t="n">
        <v>24</v>
      </c>
    </row>
    <row r="162" ht="15" customHeight="1" s="52">
      <c r="A162" s="101" t="n">
        <v>159</v>
      </c>
      <c r="B162" s="101" t="inlineStr">
        <is>
          <t>DP_AGG3</t>
        </is>
      </c>
      <c r="C162" s="101" t="inlineStr">
        <is>
          <t>Kiểm thử</t>
        </is>
      </c>
      <c r="D162" s="101">
        <f>B162&amp;C162</f>
        <v/>
      </c>
      <c r="E162" s="102" t="n">
        <v>12.5</v>
      </c>
    </row>
    <row r="163" ht="15" customHeight="1" s="52">
      <c r="A163" s="101" t="n">
        <v>160</v>
      </c>
      <c r="B163" s="101" t="inlineStr">
        <is>
          <t>DV_TABLEAU_CHART</t>
        </is>
      </c>
      <c r="C163" s="101" t="inlineStr">
        <is>
          <t>Giải pháp</t>
        </is>
      </c>
      <c r="D163" s="101">
        <f>B163&amp;C163</f>
        <v/>
      </c>
      <c r="E163" s="102" t="n">
        <v>2</v>
      </c>
    </row>
    <row r="164" ht="15" customHeight="1" s="52">
      <c r="A164" s="101" t="n">
        <v>161</v>
      </c>
      <c r="B164" s="101" t="inlineStr">
        <is>
          <t>DV_TABLEAU_CHART</t>
        </is>
      </c>
      <c r="C164" s="101" t="inlineStr">
        <is>
          <t>Phát triển</t>
        </is>
      </c>
      <c r="D164" s="101">
        <f>B164&amp;C164</f>
        <v/>
      </c>
      <c r="E164" s="102" t="n">
        <v>3</v>
      </c>
    </row>
    <row r="165" ht="15" customHeight="1" s="52">
      <c r="A165" s="101" t="n">
        <v>162</v>
      </c>
      <c r="B165" s="101" t="inlineStr">
        <is>
          <t>DV_TABLEAU_CHART</t>
        </is>
      </c>
      <c r="C165" s="101" t="inlineStr">
        <is>
          <t>Kiểm thử</t>
        </is>
      </c>
      <c r="D165" s="101">
        <f>B165&amp;C165</f>
        <v/>
      </c>
      <c r="E165" s="102" t="n">
        <v>3</v>
      </c>
    </row>
    <row r="166" ht="15" customHeight="1" s="52">
      <c r="A166" s="101" t="n">
        <v>163</v>
      </c>
      <c r="B166" s="101" t="inlineStr">
        <is>
          <t>DV_TABLEAU_DASHBOARD1</t>
        </is>
      </c>
      <c r="C166" s="101" t="inlineStr">
        <is>
          <t>Giải pháp</t>
        </is>
      </c>
      <c r="D166" s="101">
        <f>B166&amp;C166</f>
        <v/>
      </c>
      <c r="E166" s="102" t="n">
        <v>2</v>
      </c>
    </row>
    <row r="167" ht="15" customHeight="1" s="52">
      <c r="A167" s="101" t="n">
        <v>164</v>
      </c>
      <c r="B167" s="101" t="inlineStr">
        <is>
          <t>DV_TABLEAU_DASHBOARD1</t>
        </is>
      </c>
      <c r="C167" s="101" t="inlineStr">
        <is>
          <t>Phát triển</t>
        </is>
      </c>
      <c r="D167" s="101">
        <f>B167&amp;C167</f>
        <v/>
      </c>
      <c r="E167" s="102" t="n">
        <v>4</v>
      </c>
    </row>
    <row r="168" ht="15" customHeight="1" s="52">
      <c r="A168" s="101" t="n">
        <v>165</v>
      </c>
      <c r="B168" s="101" t="inlineStr">
        <is>
          <t>DV_TABLEAU_DASHBOARD1</t>
        </is>
      </c>
      <c r="C168" s="101" t="inlineStr">
        <is>
          <t>Kiểm thử</t>
        </is>
      </c>
      <c r="D168" s="101">
        <f>B168&amp;C168</f>
        <v/>
      </c>
      <c r="E168" s="102" t="n">
        <v>2</v>
      </c>
    </row>
    <row r="169" ht="15" customHeight="1" s="52">
      <c r="A169" s="101" t="n">
        <v>166</v>
      </c>
      <c r="B169" s="101" t="inlineStr">
        <is>
          <t>DV_TABLEAU_DASHBOARD2</t>
        </is>
      </c>
      <c r="C169" s="101" t="inlineStr">
        <is>
          <t>Giải pháp</t>
        </is>
      </c>
      <c r="D169" s="101">
        <f>B169&amp;C169</f>
        <v/>
      </c>
      <c r="E169" s="102" t="n">
        <v>4</v>
      </c>
    </row>
    <row r="170" ht="15" customHeight="1" s="52">
      <c r="A170" s="101" t="n">
        <v>167</v>
      </c>
      <c r="B170" s="101" t="inlineStr">
        <is>
          <t>DV_TABLEAU_DASHBOARD2</t>
        </is>
      </c>
      <c r="C170" s="101" t="inlineStr">
        <is>
          <t>Phát triển</t>
        </is>
      </c>
      <c r="D170" s="101">
        <f>B170&amp;C170</f>
        <v/>
      </c>
      <c r="E170" s="102" t="n">
        <v>8</v>
      </c>
    </row>
    <row r="171" ht="15" customHeight="1" s="52">
      <c r="A171" s="101" t="n">
        <v>168</v>
      </c>
      <c r="B171" s="101" t="inlineStr">
        <is>
          <t>DV_TABLEAU_DASHBOARD2</t>
        </is>
      </c>
      <c r="C171" s="101" t="inlineStr">
        <is>
          <t>Kiểm thử</t>
        </is>
      </c>
      <c r="D171" s="101">
        <f>B171&amp;C171</f>
        <v/>
      </c>
      <c r="E171" s="102" t="n">
        <v>4</v>
      </c>
    </row>
    <row r="172" ht="15" customHeight="1" s="52">
      <c r="A172" s="101" t="n">
        <v>169</v>
      </c>
      <c r="B172" s="101" t="inlineStr">
        <is>
          <t>DATA_SUPPORT1</t>
        </is>
      </c>
      <c r="C172" s="101" t="inlineStr">
        <is>
          <t>Giải pháp</t>
        </is>
      </c>
      <c r="D172" s="101">
        <f>B172&amp;C172</f>
        <v/>
      </c>
      <c r="E172" s="102" t="n">
        <v>3</v>
      </c>
    </row>
    <row r="173" ht="15" customHeight="1" s="52">
      <c r="A173" s="101" t="n">
        <v>170</v>
      </c>
      <c r="B173" s="101" t="inlineStr">
        <is>
          <t>DATA_SUPPORT1</t>
        </is>
      </c>
      <c r="C173" s="101" t="inlineStr">
        <is>
          <t>Phát triển</t>
        </is>
      </c>
      <c r="D173" s="101">
        <f>B173&amp;C173</f>
        <v/>
      </c>
      <c r="E173" s="102" t="n">
        <v>6</v>
      </c>
    </row>
    <row r="174" ht="15" customHeight="1" s="52">
      <c r="A174" s="101" t="n">
        <v>171</v>
      </c>
      <c r="B174" s="101" t="inlineStr">
        <is>
          <t>DATA_SUPPORT1</t>
        </is>
      </c>
      <c r="C174" s="101" t="inlineStr">
        <is>
          <t>Kiểm thử</t>
        </is>
      </c>
      <c r="D174" s="101">
        <f>B174&amp;C174</f>
        <v/>
      </c>
      <c r="E174" s="102" t="n">
        <v>2.75</v>
      </c>
    </row>
    <row r="175" ht="15" customHeight="1" s="52">
      <c r="A175" s="101" t="n">
        <v>172</v>
      </c>
      <c r="B175" s="101" t="inlineStr">
        <is>
          <t>DATA_SUPPORT2</t>
        </is>
      </c>
      <c r="C175" s="101" t="inlineStr">
        <is>
          <t>Giải pháp</t>
        </is>
      </c>
      <c r="D175" s="101">
        <f>B175&amp;C175</f>
        <v/>
      </c>
      <c r="E175" s="102" t="n">
        <v>4.25</v>
      </c>
    </row>
    <row r="176" ht="15" customHeight="1" s="52">
      <c r="A176" s="101" t="n">
        <v>173</v>
      </c>
      <c r="B176" s="101" t="inlineStr">
        <is>
          <t>DATA_SUPPORT2</t>
        </is>
      </c>
      <c r="C176" s="101" t="inlineStr">
        <is>
          <t>Phát triển</t>
        </is>
      </c>
      <c r="D176" s="101">
        <f>B176&amp;C176</f>
        <v/>
      </c>
      <c r="E176" s="102" t="n">
        <v>16</v>
      </c>
    </row>
    <row r="177" ht="15" customHeight="1" s="52">
      <c r="A177" s="101" t="n">
        <v>174</v>
      </c>
      <c r="B177" s="101" t="inlineStr">
        <is>
          <t>DATA_SUPPORT2</t>
        </is>
      </c>
      <c r="C177" s="101" t="inlineStr">
        <is>
          <t>Kiểm thử</t>
        </is>
      </c>
      <c r="D177" s="101">
        <f>B177&amp;C177</f>
        <v/>
      </c>
      <c r="E177" s="102" t="n">
        <v>4.5</v>
      </c>
    </row>
    <row r="178" ht="15" customHeight="1" s="52">
      <c r="A178" s="101" t="n">
        <v>175</v>
      </c>
      <c r="B178" s="101" t="inlineStr">
        <is>
          <t>DATA_SUPPORT3</t>
        </is>
      </c>
      <c r="C178" s="101" t="inlineStr">
        <is>
          <t>Giải pháp</t>
        </is>
      </c>
      <c r="D178" s="101">
        <f>B178&amp;C178</f>
        <v/>
      </c>
      <c r="E178" s="102" t="n">
        <v>6</v>
      </c>
    </row>
    <row r="179" ht="15" customHeight="1" s="52">
      <c r="A179" s="101" t="n">
        <v>176</v>
      </c>
      <c r="B179" s="101" t="inlineStr">
        <is>
          <t>DATA_SUPPORT3</t>
        </is>
      </c>
      <c r="C179" s="101" t="inlineStr">
        <is>
          <t>Phát triển</t>
        </is>
      </c>
      <c r="D179" s="101">
        <f>B179&amp;C179</f>
        <v/>
      </c>
      <c r="E179" s="102" t="n">
        <v>24</v>
      </c>
    </row>
    <row r="180" ht="15" customHeight="1" s="52">
      <c r="A180" s="101" t="n">
        <v>177</v>
      </c>
      <c r="B180" s="101" t="inlineStr">
        <is>
          <t>DATA_SUPPORT3</t>
        </is>
      </c>
      <c r="C180" s="101" t="inlineStr">
        <is>
          <t>Kiểm thử</t>
        </is>
      </c>
      <c r="D180" s="101">
        <f>B180&amp;C180</f>
        <v/>
      </c>
      <c r="E180" s="102" t="n">
        <v>6.25</v>
      </c>
    </row>
    <row r="181" ht="15" customHeight="1" s="52">
      <c r="A181" s="101" t="n">
        <v>178</v>
      </c>
      <c r="B181" s="101" t="inlineStr">
        <is>
          <t>WRITE_TC_WEB_1</t>
        </is>
      </c>
      <c r="C181" s="101" t="inlineStr">
        <is>
          <t>kiểm thử</t>
        </is>
      </c>
      <c r="D181" s="101">
        <f>B181&amp;C181</f>
        <v/>
      </c>
      <c r="E181" s="102" t="n">
        <v>8</v>
      </c>
    </row>
    <row r="182" ht="15" customHeight="1" s="52">
      <c r="A182" s="101" t="n">
        <v>179</v>
      </c>
      <c r="B182" s="101" t="inlineStr">
        <is>
          <t>WRITE_TC_WEB_1</t>
        </is>
      </c>
      <c r="C182" s="101" t="inlineStr">
        <is>
          <t>Giải pháp</t>
        </is>
      </c>
      <c r="D182" s="101">
        <f>B182&amp;C182</f>
        <v/>
      </c>
      <c r="E182" s="102" t="n">
        <v>0</v>
      </c>
    </row>
    <row r="183" ht="15" customHeight="1" s="52">
      <c r="A183" s="101" t="n">
        <v>180</v>
      </c>
      <c r="B183" s="101" t="inlineStr">
        <is>
          <t>WRITE_TC_WEB_1</t>
        </is>
      </c>
      <c r="C183" s="101" t="inlineStr">
        <is>
          <t>Phát triển</t>
        </is>
      </c>
      <c r="D183" s="101">
        <f>B183&amp;C183</f>
        <v/>
      </c>
      <c r="E183" s="102" t="n">
        <v>0</v>
      </c>
    </row>
    <row r="184" ht="15" customHeight="1" s="52">
      <c r="A184" s="101" t="n">
        <v>181</v>
      </c>
      <c r="B184" s="101" t="inlineStr">
        <is>
          <t>WRITE_TC_WEB_2</t>
        </is>
      </c>
      <c r="C184" s="101" t="inlineStr">
        <is>
          <t>Kiểm thử</t>
        </is>
      </c>
      <c r="D184" s="101">
        <f>B184&amp;C184</f>
        <v/>
      </c>
      <c r="E184" s="102" t="n">
        <v>12</v>
      </c>
    </row>
    <row r="185" ht="15" customHeight="1" s="52">
      <c r="A185" s="101" t="n">
        <v>182</v>
      </c>
      <c r="B185" s="101" t="inlineStr">
        <is>
          <t>WRITE_TC_WEB_2</t>
        </is>
      </c>
      <c r="C185" s="101" t="inlineStr">
        <is>
          <t>Giải pháp</t>
        </is>
      </c>
      <c r="D185" s="101">
        <f>B185&amp;C185</f>
        <v/>
      </c>
      <c r="E185" s="102" t="n">
        <v>0</v>
      </c>
    </row>
    <row r="186" ht="15" customHeight="1" s="52">
      <c r="A186" s="101" t="n">
        <v>183</v>
      </c>
      <c r="B186" s="101" t="inlineStr">
        <is>
          <t>WRITE_TC_WEB_2</t>
        </is>
      </c>
      <c r="C186" s="101" t="inlineStr">
        <is>
          <t>Phát triển</t>
        </is>
      </c>
      <c r="D186" s="101">
        <f>B186&amp;C186</f>
        <v/>
      </c>
      <c r="E186" s="102" t="n">
        <v>0</v>
      </c>
    </row>
    <row r="187" ht="15" customHeight="1" s="52">
      <c r="A187" s="101" t="n">
        <v>184</v>
      </c>
      <c r="B187" s="101" t="inlineStr">
        <is>
          <t>WRITE_TC_WEB_3</t>
        </is>
      </c>
      <c r="C187" s="101" t="inlineStr">
        <is>
          <t>kiểm thử</t>
        </is>
      </c>
      <c r="D187" s="101">
        <f>B187&amp;C187</f>
        <v/>
      </c>
      <c r="E187" s="102" t="n">
        <v>16</v>
      </c>
    </row>
    <row r="188" ht="15" customHeight="1" s="52">
      <c r="A188" s="101" t="n">
        <v>185</v>
      </c>
      <c r="B188" s="101" t="inlineStr">
        <is>
          <t>WRITE_TC_WEB_3</t>
        </is>
      </c>
      <c r="C188" s="101" t="inlineStr">
        <is>
          <t>Giải pháp</t>
        </is>
      </c>
      <c r="D188" s="101">
        <f>B188&amp;C188</f>
        <v/>
      </c>
      <c r="E188" s="102" t="n">
        <v>0</v>
      </c>
    </row>
    <row r="189" ht="15" customHeight="1" s="52">
      <c r="A189" s="101" t="n">
        <v>186</v>
      </c>
      <c r="B189" s="101" t="inlineStr">
        <is>
          <t>WRITE_TC_WEB_3</t>
        </is>
      </c>
      <c r="C189" s="101" t="inlineStr">
        <is>
          <t>Phát triển</t>
        </is>
      </c>
      <c r="D189" s="101">
        <f>B189&amp;C189</f>
        <v/>
      </c>
      <c r="E189" s="102" t="n">
        <v>0</v>
      </c>
    </row>
    <row r="190" ht="15" customHeight="1" s="52">
      <c r="A190" s="101" t="n">
        <v>187</v>
      </c>
      <c r="B190" s="101" t="inlineStr">
        <is>
          <t>WRITE_TC_MOBILE_ANDROID_1</t>
        </is>
      </c>
      <c r="C190" s="101" t="inlineStr">
        <is>
          <t>kiểm thử</t>
        </is>
      </c>
      <c r="D190" s="101">
        <f>B190&amp;C190</f>
        <v/>
      </c>
      <c r="E190" s="102" t="n">
        <v>8</v>
      </c>
    </row>
    <row r="191" ht="15" customHeight="1" s="52">
      <c r="A191" s="101" t="n">
        <v>188</v>
      </c>
      <c r="B191" s="101" t="inlineStr">
        <is>
          <t>WRITE_TC_MOBILE_ANDROID_1</t>
        </is>
      </c>
      <c r="C191" s="101" t="inlineStr">
        <is>
          <t>Giải pháp</t>
        </is>
      </c>
      <c r="D191" s="101">
        <f>B191&amp;C191</f>
        <v/>
      </c>
      <c r="E191" s="102" t="n">
        <v>0</v>
      </c>
    </row>
    <row r="192" ht="15" customHeight="1" s="52">
      <c r="A192" s="101" t="n">
        <v>189</v>
      </c>
      <c r="B192" s="101" t="inlineStr">
        <is>
          <t>WRITE_TC_MOBILE_ANDROID_1</t>
        </is>
      </c>
      <c r="C192" s="101" t="inlineStr">
        <is>
          <t>Phát triển</t>
        </is>
      </c>
      <c r="D192" s="101">
        <f>B192&amp;C192</f>
        <v/>
      </c>
      <c r="E192" s="102" t="n">
        <v>0</v>
      </c>
    </row>
    <row r="193" ht="15" customHeight="1" s="52">
      <c r="A193" s="101" t="n">
        <v>190</v>
      </c>
      <c r="B193" s="101" t="inlineStr">
        <is>
          <t>WRITE_TC_MOBILE_ANDROID_2</t>
        </is>
      </c>
      <c r="C193" s="101" t="inlineStr">
        <is>
          <t>kiểm thử</t>
        </is>
      </c>
      <c r="D193" s="101">
        <f>B193&amp;C193</f>
        <v/>
      </c>
      <c r="E193" s="102" t="n">
        <v>12</v>
      </c>
    </row>
    <row r="194" ht="15" customHeight="1" s="52">
      <c r="A194" s="101" t="n">
        <v>191</v>
      </c>
      <c r="B194" s="101" t="inlineStr">
        <is>
          <t>WRITE_TC_MOBILE_ANDROID_2</t>
        </is>
      </c>
      <c r="C194" s="101" t="inlineStr">
        <is>
          <t>Giải pháp</t>
        </is>
      </c>
      <c r="D194" s="101">
        <f>B194&amp;C194</f>
        <v/>
      </c>
      <c r="E194" s="102" t="n">
        <v>0</v>
      </c>
    </row>
    <row r="195" ht="15" customHeight="1" s="52">
      <c r="A195" s="101" t="n">
        <v>192</v>
      </c>
      <c r="B195" s="101" t="inlineStr">
        <is>
          <t>WRITE_TC_MOBILE_ANDROID_2</t>
        </is>
      </c>
      <c r="C195" s="101" t="inlineStr">
        <is>
          <t>Phát triển</t>
        </is>
      </c>
      <c r="D195" s="101">
        <f>B195&amp;C195</f>
        <v/>
      </c>
      <c r="E195" s="102" t="n">
        <v>0</v>
      </c>
    </row>
    <row r="196" ht="15" customHeight="1" s="52">
      <c r="A196" s="101" t="n">
        <v>193</v>
      </c>
      <c r="B196" s="101" t="inlineStr">
        <is>
          <t>WRITE_TC_MOBILE_ANDROID_3</t>
        </is>
      </c>
      <c r="C196" s="101" t="inlineStr">
        <is>
          <t>kiểm thử</t>
        </is>
      </c>
      <c r="D196" s="101">
        <f>B196&amp;C196</f>
        <v/>
      </c>
      <c r="E196" s="102" t="n">
        <v>16</v>
      </c>
    </row>
    <row r="197" ht="15" customHeight="1" s="52">
      <c r="A197" s="101" t="n">
        <v>194</v>
      </c>
      <c r="B197" s="101" t="inlineStr">
        <is>
          <t>WRITE_TC_MOBILE_ANDROID_3</t>
        </is>
      </c>
      <c r="C197" s="101" t="inlineStr">
        <is>
          <t>Giải pháp</t>
        </is>
      </c>
      <c r="D197" s="101">
        <f>B197&amp;C197</f>
        <v/>
      </c>
      <c r="E197" s="102" t="n">
        <v>0</v>
      </c>
    </row>
    <row r="198" ht="15" customHeight="1" s="52">
      <c r="A198" s="101" t="n">
        <v>195</v>
      </c>
      <c r="B198" s="101" t="inlineStr">
        <is>
          <t>WRITE_TC_MOBILE_ANDROID_3</t>
        </is>
      </c>
      <c r="C198" s="101" t="inlineStr">
        <is>
          <t>Phát triển</t>
        </is>
      </c>
      <c r="D198" s="101">
        <f>B198&amp;C198</f>
        <v/>
      </c>
      <c r="E198" s="102" t="n">
        <v>0</v>
      </c>
    </row>
    <row r="199" ht="15" customHeight="1" s="52">
      <c r="A199" s="101" t="n">
        <v>196</v>
      </c>
      <c r="B199" s="101" t="inlineStr">
        <is>
          <t>WRITE_TC_MOBILE_IOS_1</t>
        </is>
      </c>
      <c r="C199" s="101" t="inlineStr">
        <is>
          <t>kiểm thử</t>
        </is>
      </c>
      <c r="D199" s="101">
        <f>B199&amp;C199</f>
        <v/>
      </c>
      <c r="E199" s="102" t="n">
        <v>12</v>
      </c>
    </row>
    <row r="200" ht="15" customHeight="1" s="52">
      <c r="A200" s="101" t="n">
        <v>197</v>
      </c>
      <c r="B200" s="101" t="inlineStr">
        <is>
          <t>WRITE_TC_MOBILE_IOS_1</t>
        </is>
      </c>
      <c r="C200" s="101" t="inlineStr">
        <is>
          <t>Giải pháp</t>
        </is>
      </c>
      <c r="D200" s="101">
        <f>B200&amp;C200</f>
        <v/>
      </c>
      <c r="E200" s="102" t="n">
        <v>0</v>
      </c>
    </row>
    <row r="201" ht="15" customHeight="1" s="52">
      <c r="A201" s="101" t="n">
        <v>198</v>
      </c>
      <c r="B201" s="101" t="inlineStr">
        <is>
          <t>WRITE_TC_MOBILE_IOS_1</t>
        </is>
      </c>
      <c r="C201" s="101" t="inlineStr">
        <is>
          <t>Phát triển</t>
        </is>
      </c>
      <c r="D201" s="101">
        <f>B201&amp;C201</f>
        <v/>
      </c>
      <c r="E201" s="102" t="n">
        <v>0</v>
      </c>
    </row>
    <row r="202" ht="15" customHeight="1" s="52">
      <c r="A202" s="101" t="n">
        <v>199</v>
      </c>
      <c r="B202" s="101" t="inlineStr">
        <is>
          <t>WRITE_TC_MOBILE_IOS_2</t>
        </is>
      </c>
      <c r="C202" s="101" t="inlineStr">
        <is>
          <t>kiểm thử</t>
        </is>
      </c>
      <c r="D202" s="101">
        <f>B202&amp;C202</f>
        <v/>
      </c>
      <c r="E202" s="102" t="n">
        <v>16</v>
      </c>
    </row>
    <row r="203" ht="15" customHeight="1" s="52">
      <c r="A203" s="101" t="n">
        <v>200</v>
      </c>
      <c r="B203" s="101" t="inlineStr">
        <is>
          <t>WRITE_TC_MOBILE_IOS_2</t>
        </is>
      </c>
      <c r="C203" s="101" t="inlineStr">
        <is>
          <t>Giải pháp</t>
        </is>
      </c>
      <c r="D203" s="101">
        <f>B203&amp;C203</f>
        <v/>
      </c>
      <c r="E203" s="102" t="n">
        <v>0</v>
      </c>
    </row>
    <row r="204" ht="15" customHeight="1" s="52">
      <c r="A204" s="101" t="n">
        <v>201</v>
      </c>
      <c r="B204" s="101" t="inlineStr">
        <is>
          <t>WRITE_TC_MOBILE_IOS_2</t>
        </is>
      </c>
      <c r="C204" s="101" t="inlineStr">
        <is>
          <t>Phát triển</t>
        </is>
      </c>
      <c r="D204" s="101">
        <f>B204&amp;C204</f>
        <v/>
      </c>
      <c r="E204" s="102" t="n">
        <v>0</v>
      </c>
    </row>
    <row r="205" ht="15" customHeight="1" s="52">
      <c r="A205" s="101" t="n">
        <v>202</v>
      </c>
      <c r="B205" s="101" t="inlineStr">
        <is>
          <t>WRITE_TC_MOBILE_IOS_3</t>
        </is>
      </c>
      <c r="C205" s="101" t="inlineStr">
        <is>
          <t>kiểm thử</t>
        </is>
      </c>
      <c r="D205" s="101">
        <f>B205&amp;C205</f>
        <v/>
      </c>
      <c r="E205" s="102" t="n">
        <v>20</v>
      </c>
    </row>
    <row r="206" ht="15" customHeight="1" s="52">
      <c r="A206" s="101" t="n">
        <v>203</v>
      </c>
      <c r="B206" s="101" t="inlineStr">
        <is>
          <t>WRITE_TC_MOBILE_IOS_3</t>
        </is>
      </c>
      <c r="C206" s="101" t="inlineStr">
        <is>
          <t>Giải pháp</t>
        </is>
      </c>
      <c r="D206" s="101">
        <f>B206&amp;C206</f>
        <v/>
      </c>
      <c r="E206" s="102" t="n">
        <v>0</v>
      </c>
    </row>
    <row r="207" ht="15" customHeight="1" s="52">
      <c r="A207" s="101" t="n">
        <v>204</v>
      </c>
      <c r="B207" s="101" t="inlineStr">
        <is>
          <t>WRITE_TC_MOBILE_IOS_3</t>
        </is>
      </c>
      <c r="C207" s="101" t="inlineStr">
        <is>
          <t>Phát triển</t>
        </is>
      </c>
      <c r="D207" s="101">
        <f>B207&amp;C207</f>
        <v/>
      </c>
      <c r="E207" s="102" t="n">
        <v>0</v>
      </c>
    </row>
    <row r="208" ht="15" customHeight="1" s="52">
      <c r="A208" s="101" t="n">
        <v>205</v>
      </c>
      <c r="B208" s="101" t="inlineStr">
        <is>
          <t>MANTAIN_TC_WEB</t>
        </is>
      </c>
      <c r="C208" s="101" t="inlineStr">
        <is>
          <t>kiểm thử</t>
        </is>
      </c>
      <c r="D208" s="101">
        <f>B208&amp;C208</f>
        <v/>
      </c>
      <c r="E208" s="102" t="n">
        <v>4</v>
      </c>
    </row>
    <row r="209" ht="15" customHeight="1" s="52">
      <c r="A209" s="101" t="n">
        <v>206</v>
      </c>
      <c r="B209" s="101" t="inlineStr">
        <is>
          <t>MANTAIN_TC_WEB</t>
        </is>
      </c>
      <c r="C209" s="101" t="inlineStr">
        <is>
          <t>Giải pháp</t>
        </is>
      </c>
      <c r="D209" s="101">
        <f>B209&amp;C209</f>
        <v/>
      </c>
      <c r="E209" s="102" t="n">
        <v>0</v>
      </c>
    </row>
    <row r="210" ht="15" customHeight="1" s="52">
      <c r="A210" s="101" t="n">
        <v>207</v>
      </c>
      <c r="B210" s="101" t="inlineStr">
        <is>
          <t>MANTAIN_TC_WEB</t>
        </is>
      </c>
      <c r="C210" s="101" t="inlineStr">
        <is>
          <t>Phát triển</t>
        </is>
      </c>
      <c r="D210" s="101">
        <f>B210&amp;C210</f>
        <v/>
      </c>
      <c r="E210" s="102" t="n">
        <v>0</v>
      </c>
    </row>
    <row r="211" ht="15" customHeight="1" s="52">
      <c r="A211" s="101" t="n">
        <v>208</v>
      </c>
      <c r="B211" s="101" t="inlineStr">
        <is>
          <t>MAITAIN_TC_MOBILE</t>
        </is>
      </c>
      <c r="C211" s="101" t="inlineStr">
        <is>
          <t>kiểm thử</t>
        </is>
      </c>
      <c r="D211" s="101">
        <f>B211&amp;C211</f>
        <v/>
      </c>
      <c r="E211" s="102" t="n">
        <v>6</v>
      </c>
    </row>
    <row r="212" ht="15" customHeight="1" s="52">
      <c r="A212" s="101" t="n">
        <v>209</v>
      </c>
      <c r="B212" s="101" t="inlineStr">
        <is>
          <t>MAITAIN_TC_MOBILE</t>
        </is>
      </c>
      <c r="C212" s="101" t="inlineStr">
        <is>
          <t>Giải pháp</t>
        </is>
      </c>
      <c r="D212" s="101">
        <f>B212&amp;C212</f>
        <v/>
      </c>
      <c r="E212" s="102" t="n">
        <v>0</v>
      </c>
    </row>
    <row r="213" ht="15" customHeight="1" s="52">
      <c r="A213" s="101" t="n">
        <v>210</v>
      </c>
      <c r="B213" s="101" t="inlineStr">
        <is>
          <t>MAITAIN_TC_MOBILE</t>
        </is>
      </c>
      <c r="C213" s="101" t="inlineStr">
        <is>
          <t>Phát triển</t>
        </is>
      </c>
      <c r="D213" s="101">
        <f>B213&amp;C213</f>
        <v/>
      </c>
      <c r="E213" s="102" t="n">
        <v>0</v>
      </c>
    </row>
    <row r="214" ht="15" customHeight="1" s="52">
      <c r="A214" s="101" t="n">
        <v>211</v>
      </c>
      <c r="B214" s="101" t="inlineStr">
        <is>
          <t>CICD02</t>
        </is>
      </c>
      <c r="C214" s="101" t="inlineStr">
        <is>
          <t>Phát triển</t>
        </is>
      </c>
      <c r="D214" s="101">
        <f>B214&amp;C214</f>
        <v/>
      </c>
      <c r="E214" s="102" t="n">
        <v>10</v>
      </c>
    </row>
    <row r="215" ht="15" customHeight="1" s="52">
      <c r="A215" s="101" t="n">
        <v>212</v>
      </c>
      <c r="B215" s="101" t="inlineStr">
        <is>
          <t>CICD02</t>
        </is>
      </c>
      <c r="C215" s="101" t="inlineStr">
        <is>
          <t>kiểm thử</t>
        </is>
      </c>
      <c r="D215" s="101">
        <f>B215&amp;C215</f>
        <v/>
      </c>
      <c r="E215" s="102" t="n">
        <v>0</v>
      </c>
    </row>
    <row r="216" ht="15" customHeight="1" s="52">
      <c r="A216" s="101" t="n">
        <v>213</v>
      </c>
      <c r="B216" s="101" t="inlineStr">
        <is>
          <t>CICD02</t>
        </is>
      </c>
      <c r="C216" s="101" t="inlineStr">
        <is>
          <t>Giải pháp</t>
        </is>
      </c>
      <c r="D216" s="101">
        <f>B216&amp;C216</f>
        <v/>
      </c>
      <c r="E216" s="102" t="n">
        <v>0</v>
      </c>
    </row>
    <row r="217" ht="15" customHeight="1" s="52">
      <c r="A217" s="101" t="n">
        <v>214</v>
      </c>
      <c r="B217" s="101" t="inlineStr">
        <is>
          <t>CICD03</t>
        </is>
      </c>
      <c r="C217" s="101" t="inlineStr">
        <is>
          <t>Phát triển</t>
        </is>
      </c>
      <c r="D217" s="101">
        <f>B217&amp;C217</f>
        <v/>
      </c>
      <c r="E217" s="102" t="n">
        <v>2</v>
      </c>
    </row>
    <row r="218" ht="15" customHeight="1" s="52">
      <c r="A218" s="101" t="n">
        <v>215</v>
      </c>
      <c r="B218" s="101" t="inlineStr">
        <is>
          <t>CICD03</t>
        </is>
      </c>
      <c r="C218" s="101" t="inlineStr">
        <is>
          <t>kiểm thử</t>
        </is>
      </c>
      <c r="D218" s="101">
        <f>B218&amp;C218</f>
        <v/>
      </c>
      <c r="E218" s="102" t="n">
        <v>0</v>
      </c>
    </row>
    <row r="219" ht="15" customHeight="1" s="52">
      <c r="A219" s="101" t="n">
        <v>216</v>
      </c>
      <c r="B219" s="101" t="inlineStr">
        <is>
          <t>CICD03</t>
        </is>
      </c>
      <c r="C219" s="101" t="inlineStr">
        <is>
          <t>Giải pháp</t>
        </is>
      </c>
      <c r="D219" s="101">
        <f>B219&amp;C219</f>
        <v/>
      </c>
      <c r="E219" s="102" t="n">
        <v>0</v>
      </c>
    </row>
    <row r="220" ht="15" customHeight="1" s="52">
      <c r="A220" s="101" t="n">
        <v>217</v>
      </c>
      <c r="B220" s="101" t="inlineStr">
        <is>
          <t>RUN_WEB_1</t>
        </is>
      </c>
      <c r="C220" s="101" t="inlineStr">
        <is>
          <t>Kiểm thử</t>
        </is>
      </c>
      <c r="D220" s="101">
        <f>B220&amp;C220</f>
        <v/>
      </c>
      <c r="E220" s="102" t="n">
        <v>8</v>
      </c>
    </row>
    <row r="221" ht="15" customHeight="1" s="52">
      <c r="A221" s="101" t="n">
        <v>218</v>
      </c>
      <c r="B221" s="101" t="inlineStr">
        <is>
          <t>RUN_WEB_1</t>
        </is>
      </c>
      <c r="C221" s="101" t="inlineStr">
        <is>
          <t>Giải pháp</t>
        </is>
      </c>
      <c r="D221" s="101">
        <f>B221&amp;C221</f>
        <v/>
      </c>
      <c r="E221" s="102" t="n">
        <v>0</v>
      </c>
    </row>
    <row r="222" ht="15" customHeight="1" s="52">
      <c r="A222" s="101" t="n">
        <v>219</v>
      </c>
      <c r="B222" s="101" t="inlineStr">
        <is>
          <t>RUN_WEB_1</t>
        </is>
      </c>
      <c r="C222" s="101" t="inlineStr">
        <is>
          <t>Phát triển</t>
        </is>
      </c>
      <c r="D222" s="101">
        <f>B222&amp;C222</f>
        <v/>
      </c>
      <c r="E222" s="102" t="n">
        <v>0</v>
      </c>
    </row>
    <row r="223" ht="15" customHeight="1" s="52">
      <c r="A223" s="101" t="n">
        <v>220</v>
      </c>
      <c r="B223" s="101" t="inlineStr">
        <is>
          <t>RUN_WEB_2</t>
        </is>
      </c>
      <c r="C223" s="101" t="inlineStr">
        <is>
          <t>Kiểm thử</t>
        </is>
      </c>
      <c r="D223" s="101">
        <f>B223&amp;C223</f>
        <v/>
      </c>
      <c r="E223" s="102" t="n">
        <v>12</v>
      </c>
    </row>
    <row r="224" ht="15" customHeight="1" s="52">
      <c r="A224" s="101" t="n">
        <v>221</v>
      </c>
      <c r="B224" s="101" t="inlineStr">
        <is>
          <t>RUN_WEB_2</t>
        </is>
      </c>
      <c r="C224" s="101" t="inlineStr">
        <is>
          <t>Giải pháp</t>
        </is>
      </c>
      <c r="D224" s="101">
        <f>B224&amp;C224</f>
        <v/>
      </c>
      <c r="E224" s="102" t="n">
        <v>0</v>
      </c>
    </row>
    <row r="225" ht="15" customHeight="1" s="52">
      <c r="A225" s="101" t="n">
        <v>222</v>
      </c>
      <c r="B225" s="101" t="inlineStr">
        <is>
          <t>RUN_WEB_2</t>
        </is>
      </c>
      <c r="C225" s="101" t="inlineStr">
        <is>
          <t>Phát triển</t>
        </is>
      </c>
      <c r="D225" s="101">
        <f>B225&amp;C225</f>
        <v/>
      </c>
      <c r="E225" s="102" t="n">
        <v>0</v>
      </c>
    </row>
    <row r="226" ht="15" customHeight="1" s="52">
      <c r="A226" s="101" t="n">
        <v>223</v>
      </c>
      <c r="B226" s="101" t="inlineStr">
        <is>
          <t>RUN_WEB_3</t>
        </is>
      </c>
      <c r="C226" s="101" t="inlineStr">
        <is>
          <t>Kiểm thử</t>
        </is>
      </c>
      <c r="D226" s="101">
        <f>B226&amp;C226</f>
        <v/>
      </c>
      <c r="E226" s="102" t="n">
        <v>16</v>
      </c>
    </row>
    <row r="227" ht="15" customHeight="1" s="52">
      <c r="A227" s="101" t="n">
        <v>224</v>
      </c>
      <c r="B227" s="101" t="inlineStr">
        <is>
          <t>RUN_WEB_3</t>
        </is>
      </c>
      <c r="C227" s="101" t="inlineStr">
        <is>
          <t>Giải pháp</t>
        </is>
      </c>
      <c r="D227" s="101">
        <f>B227&amp;C227</f>
        <v/>
      </c>
      <c r="E227" s="102" t="n">
        <v>0</v>
      </c>
    </row>
    <row r="228" ht="15" customHeight="1" s="52">
      <c r="A228" s="101" t="n">
        <v>225</v>
      </c>
      <c r="B228" s="101" t="inlineStr">
        <is>
          <t>RUN_WEB_3</t>
        </is>
      </c>
      <c r="C228" s="101" t="inlineStr">
        <is>
          <t>Phát triển</t>
        </is>
      </c>
      <c r="D228" s="101">
        <f>B228&amp;C228</f>
        <v/>
      </c>
      <c r="E228" s="102" t="n">
        <v>0</v>
      </c>
    </row>
    <row r="229" ht="15" customHeight="1" s="52">
      <c r="A229" s="101" t="n">
        <v>226</v>
      </c>
      <c r="B229" s="101" t="inlineStr">
        <is>
          <t>RUN_MOBILE_ANDROID_1</t>
        </is>
      </c>
      <c r="C229" s="101" t="inlineStr">
        <is>
          <t>Kiểm thử</t>
        </is>
      </c>
      <c r="D229" s="101">
        <f>B229&amp;C229</f>
        <v/>
      </c>
      <c r="E229" s="102" t="n">
        <v>8</v>
      </c>
    </row>
    <row r="230" ht="15" customHeight="1" s="52">
      <c r="A230" s="101" t="n">
        <v>227</v>
      </c>
      <c r="B230" s="101" t="inlineStr">
        <is>
          <t>RUN_MOBILE_ANDROID_1</t>
        </is>
      </c>
      <c r="C230" s="101" t="inlineStr">
        <is>
          <t>Giải pháp</t>
        </is>
      </c>
      <c r="D230" s="101">
        <f>B230&amp;C230</f>
        <v/>
      </c>
      <c r="E230" s="102" t="n">
        <v>0</v>
      </c>
    </row>
    <row r="231" ht="15" customHeight="1" s="52">
      <c r="A231" s="101" t="n">
        <v>228</v>
      </c>
      <c r="B231" s="101" t="inlineStr">
        <is>
          <t>RUN_MOBILE_ANDROID_1</t>
        </is>
      </c>
      <c r="C231" s="101" t="inlineStr">
        <is>
          <t>Phát triển</t>
        </is>
      </c>
      <c r="D231" s="101">
        <f>B231&amp;C231</f>
        <v/>
      </c>
      <c r="E231" s="102" t="n">
        <v>0</v>
      </c>
    </row>
    <row r="232" ht="15" customHeight="1" s="52">
      <c r="A232" s="101" t="n">
        <v>229</v>
      </c>
      <c r="B232" s="101" t="inlineStr">
        <is>
          <t>RUN_MOBILE_ANDROID_2</t>
        </is>
      </c>
      <c r="C232" s="101" t="inlineStr">
        <is>
          <t>Kiểm thử</t>
        </is>
      </c>
      <c r="D232" s="101">
        <f>B232&amp;C232</f>
        <v/>
      </c>
      <c r="E232" s="102" t="n">
        <v>12</v>
      </c>
    </row>
    <row r="233" ht="15" customHeight="1" s="52">
      <c r="A233" s="101" t="n">
        <v>230</v>
      </c>
      <c r="B233" s="101" t="inlineStr">
        <is>
          <t>RUN_MOBILE_ANDROID_2</t>
        </is>
      </c>
      <c r="C233" s="101" t="inlineStr">
        <is>
          <t>Giải pháp</t>
        </is>
      </c>
      <c r="D233" s="101">
        <f>B233&amp;C233</f>
        <v/>
      </c>
      <c r="E233" s="102" t="n">
        <v>0</v>
      </c>
    </row>
    <row r="234" ht="15" customHeight="1" s="52">
      <c r="A234" s="101" t="n">
        <v>231</v>
      </c>
      <c r="B234" s="101" t="inlineStr">
        <is>
          <t>RUN_MOBILE_ANDROID_2</t>
        </is>
      </c>
      <c r="C234" s="101" t="inlineStr">
        <is>
          <t>Phát triển</t>
        </is>
      </c>
      <c r="D234" s="101">
        <f>B234&amp;C234</f>
        <v/>
      </c>
      <c r="E234" s="102" t="n">
        <v>0</v>
      </c>
    </row>
    <row r="235" ht="15" customHeight="1" s="52">
      <c r="A235" s="101" t="n">
        <v>232</v>
      </c>
      <c r="B235" s="101" t="inlineStr">
        <is>
          <t>RUN_MOBILE_ANDROID_3</t>
        </is>
      </c>
      <c r="C235" s="101" t="inlineStr">
        <is>
          <t>Kiểm thử</t>
        </is>
      </c>
      <c r="D235" s="101">
        <f>B235&amp;C235</f>
        <v/>
      </c>
      <c r="E235" s="102" t="n">
        <v>16</v>
      </c>
    </row>
    <row r="236" ht="15" customHeight="1" s="52">
      <c r="A236" s="101" t="n">
        <v>233</v>
      </c>
      <c r="B236" s="101" t="inlineStr">
        <is>
          <t>RUN_MOBILE_ANDROID_3</t>
        </is>
      </c>
      <c r="C236" s="101" t="inlineStr">
        <is>
          <t>Giải pháp</t>
        </is>
      </c>
      <c r="D236" s="101">
        <f>B236&amp;C236</f>
        <v/>
      </c>
      <c r="E236" s="102" t="n">
        <v>0</v>
      </c>
    </row>
    <row r="237" ht="15" customHeight="1" s="52">
      <c r="A237" s="101" t="n">
        <v>234</v>
      </c>
      <c r="B237" s="101" t="inlineStr">
        <is>
          <t>RUN_MOBILE_ANDROID_3</t>
        </is>
      </c>
      <c r="C237" s="101" t="inlineStr">
        <is>
          <t>Phát triển</t>
        </is>
      </c>
      <c r="D237" s="101">
        <f>B237&amp;C237</f>
        <v/>
      </c>
      <c r="E237" s="102" t="n">
        <v>0</v>
      </c>
    </row>
    <row r="238" ht="15" customHeight="1" s="52">
      <c r="A238" s="101" t="n">
        <v>235</v>
      </c>
      <c r="B238" s="101" t="inlineStr">
        <is>
          <t>RUN_MOBILE_IOS_1</t>
        </is>
      </c>
      <c r="C238" s="101" t="inlineStr">
        <is>
          <t>Kiểm thử</t>
        </is>
      </c>
      <c r="D238" s="101">
        <f>B238&amp;C238</f>
        <v/>
      </c>
      <c r="E238" s="102" t="n">
        <v>12</v>
      </c>
    </row>
    <row r="239" ht="15" customHeight="1" s="52">
      <c r="A239" s="101" t="n">
        <v>236</v>
      </c>
      <c r="B239" s="101" t="inlineStr">
        <is>
          <t>RUN_MOBILE_IOS_1</t>
        </is>
      </c>
      <c r="C239" s="101" t="inlineStr">
        <is>
          <t>Giải pháp</t>
        </is>
      </c>
      <c r="D239" s="101">
        <f>B239&amp;C239</f>
        <v/>
      </c>
      <c r="E239" s="102" t="n">
        <v>0</v>
      </c>
    </row>
    <row r="240" ht="15" customHeight="1" s="52">
      <c r="A240" s="101" t="n">
        <v>237</v>
      </c>
      <c r="B240" s="101" t="inlineStr">
        <is>
          <t>RUN_MOBILE_IOS_1</t>
        </is>
      </c>
      <c r="C240" s="101" t="inlineStr">
        <is>
          <t>Phát triển</t>
        </is>
      </c>
      <c r="D240" s="101">
        <f>B240&amp;C240</f>
        <v/>
      </c>
      <c r="E240" s="102" t="n">
        <v>0</v>
      </c>
    </row>
    <row r="241" ht="15" customHeight="1" s="52">
      <c r="A241" s="101" t="n">
        <v>238</v>
      </c>
      <c r="B241" s="101" t="inlineStr">
        <is>
          <t>RUN_MOBILE_IOS_2</t>
        </is>
      </c>
      <c r="C241" s="101" t="inlineStr">
        <is>
          <t>Kiểm thử</t>
        </is>
      </c>
      <c r="D241" s="101">
        <f>B241&amp;C241</f>
        <v/>
      </c>
      <c r="E241" s="102" t="n">
        <v>20</v>
      </c>
    </row>
    <row r="242" ht="15" customHeight="1" s="52">
      <c r="A242" s="101" t="n">
        <v>239</v>
      </c>
      <c r="B242" s="101" t="inlineStr">
        <is>
          <t>RUN_MOBILE_IOS_2</t>
        </is>
      </c>
      <c r="C242" s="101" t="inlineStr">
        <is>
          <t>Giải pháp</t>
        </is>
      </c>
      <c r="D242" s="101">
        <f>B242&amp;C242</f>
        <v/>
      </c>
      <c r="E242" s="102" t="n"/>
    </row>
    <row r="243" ht="15" customHeight="1" s="52">
      <c r="A243" s="101" t="n">
        <v>240</v>
      </c>
      <c r="B243" s="101" t="inlineStr">
        <is>
          <t>RUN_MOBILE_IOS_2</t>
        </is>
      </c>
      <c r="C243" s="101" t="inlineStr">
        <is>
          <t>Phát triển</t>
        </is>
      </c>
      <c r="D243" s="101">
        <f>B243&amp;C243</f>
        <v/>
      </c>
      <c r="E243" s="102" t="n"/>
    </row>
    <row r="244" ht="15" customHeight="1" s="52">
      <c r="A244" s="101" t="n">
        <v>241</v>
      </c>
      <c r="B244" s="101" t="inlineStr">
        <is>
          <t>RUN_MOBILE_IOS_3</t>
        </is>
      </c>
      <c r="C244" s="101" t="inlineStr">
        <is>
          <t>Kiểm thử</t>
        </is>
      </c>
      <c r="D244" s="101">
        <f>B244&amp;C244</f>
        <v/>
      </c>
      <c r="E244" s="102" t="n">
        <v>28</v>
      </c>
    </row>
    <row r="245" ht="15" customHeight="1" s="52">
      <c r="A245" s="101" t="n">
        <v>242</v>
      </c>
      <c r="B245" s="101" t="inlineStr">
        <is>
          <t>RUN_MOBILE_IOS_3</t>
        </is>
      </c>
      <c r="C245" s="101" t="inlineStr">
        <is>
          <t>Giải pháp</t>
        </is>
      </c>
      <c r="D245" s="101">
        <f>B245&amp;C245</f>
        <v/>
      </c>
      <c r="E245" s="102" t="n"/>
    </row>
    <row r="246" ht="15" customHeight="1" s="52">
      <c r="A246" s="101" t="n">
        <v>243</v>
      </c>
      <c r="B246" s="101" t="inlineStr">
        <is>
          <t>RUN_MOBILE_IOS_3</t>
        </is>
      </c>
      <c r="C246" s="101" t="inlineStr">
        <is>
          <t>Phát triển</t>
        </is>
      </c>
      <c r="D246" s="101">
        <f>B246&amp;C246</f>
        <v/>
      </c>
      <c r="E246" s="102" t="n"/>
    </row>
    <row r="247" ht="15" customHeight="1" s="52">
      <c r="A247" s="101" t="n">
        <v>244</v>
      </c>
      <c r="B247" s="101" t="inlineStr">
        <is>
          <t>CN_MOBILE Client1-NC</t>
        </is>
      </c>
      <c r="C247" s="101" t="inlineStr">
        <is>
          <t>Giải pháp</t>
        </is>
      </c>
      <c r="D247" s="101">
        <f>B247&amp;C247</f>
        <v/>
      </c>
      <c r="E247" s="102" t="n">
        <v>2</v>
      </c>
    </row>
    <row r="248" ht="15" customHeight="1" s="52">
      <c r="A248" s="101" t="n">
        <v>245</v>
      </c>
      <c r="B248" s="101" t="inlineStr">
        <is>
          <t>CN_MOBILE Client1-NC</t>
        </is>
      </c>
      <c r="C248" s="101" t="inlineStr">
        <is>
          <t>Phát triển</t>
        </is>
      </c>
      <c r="D248" s="101">
        <f>B248&amp;C248</f>
        <v/>
      </c>
      <c r="E248" s="102" t="n">
        <v>4</v>
      </c>
    </row>
    <row r="249" ht="15" customHeight="1" s="52">
      <c r="A249" s="101" t="n">
        <v>246</v>
      </c>
      <c r="B249" s="101" t="inlineStr">
        <is>
          <t>CN_MOBILE Client1-NC</t>
        </is>
      </c>
      <c r="C249" s="101" t="inlineStr">
        <is>
          <t>Kiểm thử</t>
        </is>
      </c>
      <c r="D249" s="101">
        <f>B249&amp;C249</f>
        <v/>
      </c>
      <c r="E249" s="102" t="n">
        <v>4</v>
      </c>
    </row>
    <row r="250" ht="15" customHeight="1" s="52">
      <c r="A250" s="101" t="n">
        <v>247</v>
      </c>
      <c r="B250" s="101" t="inlineStr">
        <is>
          <t>CN_MOBILE Client2-NC</t>
        </is>
      </c>
      <c r="C250" s="101" t="inlineStr">
        <is>
          <t>Giải pháp</t>
        </is>
      </c>
      <c r="D250" s="101">
        <f>B250&amp;C250</f>
        <v/>
      </c>
      <c r="E250" s="102" t="n">
        <v>4</v>
      </c>
    </row>
    <row r="251" ht="15" customHeight="1" s="52">
      <c r="A251" s="101" t="n">
        <v>248</v>
      </c>
      <c r="B251" s="101" t="inlineStr">
        <is>
          <t>CN_MOBILE Client2-NC</t>
        </is>
      </c>
      <c r="C251" s="101" t="inlineStr">
        <is>
          <t>Phát triển</t>
        </is>
      </c>
      <c r="D251" s="101">
        <f>B251&amp;C251</f>
        <v/>
      </c>
      <c r="E251" s="102" t="n">
        <v>8.75</v>
      </c>
    </row>
    <row r="252" ht="15" customHeight="1" s="52">
      <c r="A252" s="101" t="n">
        <v>249</v>
      </c>
      <c r="B252" s="101" t="inlineStr">
        <is>
          <t>CN_MOBILE Client2-NC</t>
        </is>
      </c>
      <c r="C252" s="101" t="inlineStr">
        <is>
          <t>Kiểm thử</t>
        </is>
      </c>
      <c r="D252" s="101">
        <f>B252&amp;C252</f>
        <v/>
      </c>
      <c r="E252" s="102" t="n">
        <v>10.5</v>
      </c>
    </row>
    <row r="253" ht="15" customHeight="1" s="52">
      <c r="A253" s="101" t="n">
        <v>250</v>
      </c>
      <c r="B253" s="101" t="inlineStr">
        <is>
          <t>CN_MOBILE Client3-NC</t>
        </is>
      </c>
      <c r="C253" s="101" t="inlineStr">
        <is>
          <t>Giải pháp</t>
        </is>
      </c>
      <c r="D253" s="101">
        <f>B253&amp;C253</f>
        <v/>
      </c>
      <c r="E253" s="102" t="n">
        <v>7.5</v>
      </c>
    </row>
    <row r="254" ht="15" customHeight="1" s="52">
      <c r="A254" s="101" t="n">
        <v>251</v>
      </c>
      <c r="B254" s="101" t="inlineStr">
        <is>
          <t>CN_MOBILE Client3-NC</t>
        </is>
      </c>
      <c r="C254" s="101" t="inlineStr">
        <is>
          <t>Phát triển</t>
        </is>
      </c>
      <c r="D254" s="101">
        <f>B254&amp;C254</f>
        <v/>
      </c>
      <c r="E254" s="102" t="n">
        <v>13</v>
      </c>
    </row>
    <row r="255" ht="15" customHeight="1" s="52">
      <c r="A255" s="101" t="n">
        <v>252</v>
      </c>
      <c r="B255" s="101" t="inlineStr">
        <is>
          <t>CN_MOBILE Client3-NC</t>
        </is>
      </c>
      <c r="C255" s="101" t="inlineStr">
        <is>
          <t>Kiểm thử</t>
        </is>
      </c>
      <c r="D255" s="101">
        <f>B255&amp;C255</f>
        <v/>
      </c>
      <c r="E255" s="102" t="n">
        <v>18</v>
      </c>
    </row>
    <row r="256" ht="15" customHeight="1" s="52">
      <c r="A256" s="101" t="n">
        <v>253</v>
      </c>
      <c r="B256" s="101" t="inlineStr">
        <is>
          <t>CN_MOBILE Server1-NC</t>
        </is>
      </c>
      <c r="C256" s="101" t="inlineStr">
        <is>
          <t>Giải pháp</t>
        </is>
      </c>
      <c r="D256" s="101">
        <f>B256&amp;C256</f>
        <v/>
      </c>
      <c r="E256" s="102" t="n">
        <v>2</v>
      </c>
    </row>
    <row r="257" ht="15" customHeight="1" s="52">
      <c r="A257" s="101" t="n">
        <v>254</v>
      </c>
      <c r="B257" s="101" t="inlineStr">
        <is>
          <t>CN_MOBILE Server1-NC</t>
        </is>
      </c>
      <c r="C257" s="101" t="inlineStr">
        <is>
          <t>Phát triển</t>
        </is>
      </c>
      <c r="D257" s="101">
        <f>B257&amp;C257</f>
        <v/>
      </c>
      <c r="E257" s="102" t="n">
        <v>3.5</v>
      </c>
    </row>
    <row r="258" ht="15" customHeight="1" s="52">
      <c r="A258" s="101" t="n">
        <v>255</v>
      </c>
      <c r="B258" s="101" t="inlineStr">
        <is>
          <t>CN_MOBILE Server1-NC</t>
        </is>
      </c>
      <c r="C258" s="101" t="inlineStr">
        <is>
          <t>Kiểm thử</t>
        </is>
      </c>
      <c r="D258" s="101">
        <f>B258&amp;C258</f>
        <v/>
      </c>
      <c r="E258" s="102" t="n">
        <v>4</v>
      </c>
    </row>
    <row r="259" ht="15" customHeight="1" s="52">
      <c r="A259" s="101" t="n">
        <v>256</v>
      </c>
      <c r="B259" s="101" t="inlineStr">
        <is>
          <t>CN_MOBILE Server2-NC</t>
        </is>
      </c>
      <c r="C259" s="101" t="inlineStr">
        <is>
          <t>Giải pháp</t>
        </is>
      </c>
      <c r="D259" s="101">
        <f>B259&amp;C259</f>
        <v/>
      </c>
      <c r="E259" s="102" t="n">
        <v>4</v>
      </c>
    </row>
    <row r="260" ht="15" customHeight="1" s="52">
      <c r="A260" s="101" t="n">
        <v>257</v>
      </c>
      <c r="B260" s="101" t="inlineStr">
        <is>
          <t>CN_MOBILE Server2-NC</t>
        </is>
      </c>
      <c r="C260" s="101" t="inlineStr">
        <is>
          <t>Phát triển</t>
        </is>
      </c>
      <c r="D260" s="101">
        <f>B260&amp;C260</f>
        <v/>
      </c>
      <c r="E260" s="102" t="n">
        <v>7.5</v>
      </c>
    </row>
    <row r="261" ht="15" customHeight="1" s="52">
      <c r="A261" s="101" t="n">
        <v>258</v>
      </c>
      <c r="B261" s="101" t="inlineStr">
        <is>
          <t>CN_MOBILE Server2-NC</t>
        </is>
      </c>
      <c r="C261" s="101" t="inlineStr">
        <is>
          <t>Kiểm thử</t>
        </is>
      </c>
      <c r="D261" s="101">
        <f>B261&amp;C261</f>
        <v/>
      </c>
      <c r="E261" s="102" t="n">
        <v>9</v>
      </c>
    </row>
    <row r="262" ht="15" customHeight="1" s="52">
      <c r="A262" s="101" t="n">
        <v>259</v>
      </c>
      <c r="B262" s="101" t="inlineStr">
        <is>
          <t>CN_MOBILE Server3-NC</t>
        </is>
      </c>
      <c r="C262" s="101" t="inlineStr">
        <is>
          <t>Giải pháp</t>
        </is>
      </c>
      <c r="D262" s="101">
        <f>B262&amp;C262</f>
        <v/>
      </c>
      <c r="E262" s="102" t="n">
        <v>7.5</v>
      </c>
    </row>
    <row r="263" ht="15" customHeight="1" s="52">
      <c r="A263" s="101" t="n">
        <v>260</v>
      </c>
      <c r="B263" s="101" t="inlineStr">
        <is>
          <t>CN_MOBILE Server3-NC</t>
        </is>
      </c>
      <c r="C263" s="101" t="inlineStr">
        <is>
          <t>Phát triển</t>
        </is>
      </c>
      <c r="D263" s="101">
        <f>B263&amp;C263</f>
        <v/>
      </c>
      <c r="E263" s="102" t="n">
        <v>13</v>
      </c>
    </row>
    <row r="264" ht="15" customHeight="1" s="52">
      <c r="A264" s="101" t="n">
        <v>261</v>
      </c>
      <c r="B264" s="101" t="inlineStr">
        <is>
          <t>CN_MOBILE Server3-NC</t>
        </is>
      </c>
      <c r="C264" s="101" t="inlineStr">
        <is>
          <t>Kiểm thử</t>
        </is>
      </c>
      <c r="D264" s="101">
        <f>B264&amp;C264</f>
        <v/>
      </c>
      <c r="E264" s="102" t="n">
        <v>18</v>
      </c>
    </row>
    <row r="265" ht="15" customHeight="1" s="52">
      <c r="A265" s="101" t="n">
        <v>262</v>
      </c>
      <c r="B265" s="101" t="inlineStr">
        <is>
          <t>UNITTEST</t>
        </is>
      </c>
      <c r="C265" s="101" t="inlineStr">
        <is>
          <t>Nỗ lực unit Test</t>
        </is>
      </c>
      <c r="D265" s="101">
        <f>B265&amp;C265</f>
        <v/>
      </c>
      <c r="E265" s="102" t="inlineStr">
        <is>
          <t>Bằng 30% nỗ lực lập trình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51" min="1" max="1"/>
    <col width="14" customWidth="1" style="51" min="2" max="2"/>
    <col width="36" customWidth="1" style="51" min="3" max="3"/>
    <col width="24" customWidth="1" style="51" min="4" max="5"/>
    <col width="36" customWidth="1" style="51" min="6" max="6"/>
    <col width="14" customWidth="1" style="51" min="7" max="7"/>
  </cols>
  <sheetData>
    <row r="1" ht="39.75" customHeight="1" s="52">
      <c r="A1" s="100" t="inlineStr">
        <is>
          <t>PHỤ LỤC 1.4
CƠ SỞ DỮ LIỆU PHI CHỨC NĂNG</t>
        </is>
      </c>
    </row>
    <row r="3" ht="24.75" customHeight="1" s="52">
      <c r="A3" s="79" t="inlineStr">
        <is>
          <t>STT</t>
        </is>
      </c>
      <c r="B3" s="79" t="inlineStr">
        <is>
          <t>Mã đầu việc</t>
        </is>
      </c>
      <c r="C3" s="79" t="inlineStr">
        <is>
          <t>Đầu việc</t>
        </is>
      </c>
      <c r="D3" s="79" t="inlineStr">
        <is>
          <t>Phạm vi</t>
        </is>
      </c>
      <c r="E3" s="79" t="inlineStr">
        <is>
          <t>Ví dụ</t>
        </is>
      </c>
      <c r="F3" s="79" t="inlineStr">
        <is>
          <t>Mô tả công việc</t>
        </is>
      </c>
      <c r="G3" s="79" t="inlineStr">
        <is>
          <t>Nỗ lực thực hiện (MH)</t>
        </is>
      </c>
    </row>
    <row r="4" ht="15" customHeight="1" s="52">
      <c r="A4" s="92" t="n">
        <v>1</v>
      </c>
      <c r="B4" s="92" t="inlineStr">
        <is>
          <t>QTDA</t>
        </is>
      </c>
      <c r="C4" s="92" t="inlineStr">
        <is>
          <t xml:space="preserve">Nỗ lực QTDA </t>
        </is>
      </c>
      <c r="D4" s="92" t="inlineStr">
        <is>
          <t>Hệ thống</t>
        </is>
      </c>
      <c r="E4" s="92" t="n"/>
      <c r="F4" s="92" t="n"/>
      <c r="G4" s="93" t="inlineStr">
        <is>
          <t>10% nỗ lực</t>
        </is>
      </c>
    </row>
    <row r="5" ht="15" customHeight="1" s="52">
      <c r="A5" s="92" t="n">
        <v>2</v>
      </c>
      <c r="B5" s="92" t="inlineStr">
        <is>
          <t>QA</t>
        </is>
      </c>
      <c r="C5" s="92" t="inlineStr">
        <is>
          <t>Nỗ lực QA dự án</t>
        </is>
      </c>
      <c r="D5" s="92" t="inlineStr">
        <is>
          <t>Hệ thống</t>
        </is>
      </c>
      <c r="E5" s="92" t="n"/>
      <c r="F5" s="92" t="n"/>
      <c r="G5" s="93" t="n">
        <v>0.03</v>
      </c>
    </row>
    <row r="6" ht="15" customHeight="1" s="52">
      <c r="A6" s="92" t="n">
        <v>3</v>
      </c>
      <c r="B6" s="92" t="inlineStr">
        <is>
          <t>TH</t>
        </is>
      </c>
      <c r="C6" s="92" t="inlineStr">
        <is>
          <t>Test Tích hợp hệ thống khác</t>
        </is>
      </c>
      <c r="D6" s="92" t="inlineStr">
        <is>
          <t>Hê thống</t>
        </is>
      </c>
      <c r="E6" s="92" t="n"/>
      <c r="F6" s="92" t="n"/>
      <c r="G6" s="93" t="n">
        <v>12</v>
      </c>
    </row>
    <row r="7" ht="15" customHeight="1" s="52">
      <c r="A7" s="92" t="n">
        <v>4</v>
      </c>
      <c r="B7" s="92" t="inlineStr">
        <is>
          <t>NT1</t>
        </is>
      </c>
      <c r="C7" s="92" t="inlineStr">
        <is>
          <t>Nghiệm thu nội bộ</t>
        </is>
      </c>
      <c r="D7" s="92" t="inlineStr">
        <is>
          <t>Hệ thống</t>
        </is>
      </c>
      <c r="E7" s="92" t="n"/>
      <c r="F7" s="92" t="n"/>
      <c r="G7" s="93" t="n">
        <v>5</v>
      </c>
    </row>
    <row r="8" ht="15" customHeight="1" s="52">
      <c r="A8" s="92" t="n">
        <v>5</v>
      </c>
      <c r="B8" s="92" t="inlineStr">
        <is>
          <t>NT2</t>
        </is>
      </c>
      <c r="C8" s="92" t="inlineStr">
        <is>
          <t>Nghiệm thu khách hàng</t>
        </is>
      </c>
      <c r="D8" s="92" t="inlineStr">
        <is>
          <t>Hệ thống</t>
        </is>
      </c>
      <c r="E8" s="92" t="n"/>
      <c r="F8" s="92" t="n"/>
      <c r="G8" s="93" t="n">
        <v>3.10909090909091</v>
      </c>
    </row>
    <row r="9" ht="34.5" customHeight="1" s="52">
      <c r="A9" s="92" t="n">
        <v>6</v>
      </c>
      <c r="B9" s="92" t="inlineStr">
        <is>
          <t>SZ1</t>
        </is>
      </c>
      <c r="C9" s="92" t="inlineStr">
        <is>
          <t>Sizing có hệ thống tham chiếu có sẵn</t>
        </is>
      </c>
      <c r="D9" s="92" t="inlineStr">
        <is>
          <t>Tham chiếu theo số module (jvm chạy)
1 - 5 module</t>
        </is>
      </c>
      <c r="E9" s="92" t="n"/>
      <c r="F9" s="92" t="n"/>
      <c r="G9" s="93" t="n">
        <v>8</v>
      </c>
    </row>
    <row r="10" ht="34.5" customHeight="1" s="52">
      <c r="A10" s="92" t="n">
        <v>7</v>
      </c>
      <c r="B10" s="92" t="inlineStr">
        <is>
          <t>SZ2</t>
        </is>
      </c>
      <c r="C10" s="92" t="inlineStr">
        <is>
          <t>Sizing có hệ thống tham chiếu có sẵn</t>
        </is>
      </c>
      <c r="D10" s="92" t="inlineStr">
        <is>
          <t>Tham chiếu theo số module (jvm chạy):
6-10 module</t>
        </is>
      </c>
      <c r="E10" s="92" t="n"/>
      <c r="F10" s="92" t="n"/>
      <c r="G10" s="93" t="n">
        <v>16</v>
      </c>
    </row>
    <row r="11" ht="34.5" customHeight="1" s="52">
      <c r="A11" s="92" t="n">
        <v>8</v>
      </c>
      <c r="B11" s="92" t="inlineStr">
        <is>
          <t>SZ3</t>
        </is>
      </c>
      <c r="C11" s="92" t="inlineStr">
        <is>
          <t>Sizing có hệ thống tham chiếu có sẵn</t>
        </is>
      </c>
      <c r="D11" s="92" t="inlineStr">
        <is>
          <t>Tham chiếu theo số module (jvm chạy):
&gt;10 module</t>
        </is>
      </c>
      <c r="E11" s="92" t="n"/>
      <c r="F11" s="92" t="n"/>
      <c r="G11" s="93" t="n">
        <v>80</v>
      </c>
    </row>
    <row r="12" ht="34.5" customHeight="1" s="52">
      <c r="A12" s="92" t="n">
        <v>9</v>
      </c>
      <c r="B12" s="92" t="inlineStr">
        <is>
          <t>SZ4</t>
        </is>
      </c>
      <c r="C12" s="92" t="inlineStr">
        <is>
          <t>Sizing tự test đo trên lab</t>
        </is>
      </c>
      <c r="D12" s="92" t="inlineStr">
        <is>
          <t>Tham chiếu theo số module (jvm chạy)
1 - 5 module</t>
        </is>
      </c>
      <c r="E12" s="92" t="n"/>
      <c r="F12" s="92" t="n"/>
      <c r="G12" s="93" t="n">
        <v>4</v>
      </c>
    </row>
    <row r="13" ht="34.5" customHeight="1" s="52">
      <c r="A13" s="92" t="n">
        <v>10</v>
      </c>
      <c r="B13" s="92" t="inlineStr">
        <is>
          <t>SZ5</t>
        </is>
      </c>
      <c r="C13" s="92" t="inlineStr">
        <is>
          <t>Sizing tự test đo trên lab</t>
        </is>
      </c>
      <c r="D13" s="92" t="inlineStr">
        <is>
          <t>Tham chiếu theo số module (jvm chạy):
6-10 module</t>
        </is>
      </c>
      <c r="E13" s="92" t="n"/>
      <c r="F13" s="92" t="n"/>
      <c r="G13" s="93" t="n">
        <v>8</v>
      </c>
    </row>
    <row r="14" ht="45.75" customHeight="1" s="52">
      <c r="A14" s="92" t="n">
        <v>11</v>
      </c>
      <c r="B14" s="92" t="inlineStr">
        <is>
          <t>SZ6</t>
        </is>
      </c>
      <c r="C14" s="92" t="inlineStr">
        <is>
          <t>Sizing tự test đo trên lab</t>
        </is>
      </c>
      <c r="D14" s="92" t="inlineStr">
        <is>
          <t xml:space="preserve">
Tham chiếu theo số module (jvm chạy):
&gt;10 module</t>
        </is>
      </c>
      <c r="E14" s="92" t="n"/>
      <c r="F14" s="92" t="n"/>
      <c r="G14" s="93" t="n">
        <v>12</v>
      </c>
    </row>
    <row r="15" ht="15" customHeight="1" s="52">
      <c r="A15" s="92" t="n">
        <v>12</v>
      </c>
      <c r="B15" s="92" t="inlineStr">
        <is>
          <t>UC1</t>
        </is>
      </c>
      <c r="C15" s="92" t="inlineStr">
        <is>
          <t>Làm các thủ tục upcode và bàn giao trên WO</t>
        </is>
      </c>
      <c r="D15" s="92" t="n"/>
      <c r="E15" s="92" t="n"/>
      <c r="F15" s="92" t="n"/>
      <c r="G15" s="93" t="n">
        <v>2</v>
      </c>
    </row>
    <row r="16" ht="15" customHeight="1" s="52">
      <c r="A16" s="92" t="n">
        <v>13</v>
      </c>
      <c r="B16" s="92" t="inlineStr">
        <is>
          <t>UC2</t>
        </is>
      </c>
      <c r="C16" s="92" t="inlineStr">
        <is>
          <t>Review và phê duyệt WO upcode</t>
        </is>
      </c>
      <c r="D16" s="92" t="n"/>
      <c r="E16" s="92" t="n"/>
      <c r="F16" s="92" t="n"/>
      <c r="G16" s="93" t="n">
        <v>2.14906832298137</v>
      </c>
    </row>
    <row r="17" ht="23.25" customHeight="1" s="52">
      <c r="A17" s="92" t="n">
        <v>14</v>
      </c>
      <c r="B17" s="92" t="inlineStr">
        <is>
          <t>UC3</t>
        </is>
      </c>
      <c r="C17" s="92" t="inlineStr">
        <is>
          <t>Merge code</t>
        </is>
      </c>
      <c r="D17" s="92" t="n"/>
      <c r="E17" s="92" t="inlineStr">
        <is>
          <t>5% nỗ lực coding các chức năng merge</t>
        </is>
      </c>
      <c r="F17" s="92" t="n"/>
      <c r="G17" s="93" t="n">
        <v>3.67901234567902</v>
      </c>
    </row>
    <row r="18" ht="23.25" customHeight="1" s="52">
      <c r="A18" s="92" t="n">
        <v>15</v>
      </c>
      <c r="B18" s="92" t="inlineStr">
        <is>
          <t>UC4</t>
        </is>
      </c>
      <c r="C18" s="92" t="inlineStr">
        <is>
          <t>Test Merge code</t>
        </is>
      </c>
      <c r="D18" s="92" t="n"/>
      <c r="E18" s="92" t="inlineStr">
        <is>
          <t>20% tổng nỗ lực test các yc merge</t>
        </is>
      </c>
      <c r="F18" s="92" t="n"/>
      <c r="G18" s="93" t="n">
        <v>10</v>
      </c>
    </row>
    <row r="19" ht="15" customHeight="1" s="52">
      <c r="A19" s="92" t="n">
        <v>16</v>
      </c>
      <c r="B19" s="92" t="inlineStr">
        <is>
          <t>UC5</t>
        </is>
      </c>
      <c r="C19" s="92" t="inlineStr">
        <is>
          <t>Tham gia upcode</t>
        </is>
      </c>
      <c r="D19" s="92" t="n"/>
      <c r="E19" s="92" t="n"/>
      <c r="F19" s="92" t="n"/>
      <c r="G19" s="93" t="n">
        <v>3.38385093167702</v>
      </c>
    </row>
    <row r="20" ht="23.25" customHeight="1" s="52">
      <c r="A20" s="92" t="n">
        <v>17</v>
      </c>
      <c r="B20" s="92" t="inlineStr">
        <is>
          <t>UC6</t>
        </is>
      </c>
      <c r="C20" s="92" t="inlineStr">
        <is>
          <t>Release phiên bản trên jenskin và Cập nhật kết quả upcode trên IBM</t>
        </is>
      </c>
      <c r="D20" s="92" t="n"/>
      <c r="E20" s="92" t="n"/>
      <c r="F20" s="92" t="n"/>
      <c r="G20" s="93" t="n">
        <v>2.8054054054054</v>
      </c>
    </row>
    <row r="21" ht="15" customHeight="1" s="52">
      <c r="A21" s="92" t="n">
        <v>18</v>
      </c>
      <c r="B21" s="92" t="inlineStr">
        <is>
          <t>TK1</t>
        </is>
      </c>
      <c r="C21" s="92" t="inlineStr">
        <is>
          <t>Triển khai trên hạ tầng có sẵn</t>
        </is>
      </c>
      <c r="D21" s="92" t="n"/>
      <c r="E21" s="92" t="n"/>
      <c r="F21" s="92" t="n"/>
      <c r="G21" s="93" t="n">
        <v>6.05</v>
      </c>
    </row>
    <row r="22" ht="15" customHeight="1" s="52">
      <c r="A22" s="92" t="n">
        <v>19</v>
      </c>
      <c r="B22" s="92" t="inlineStr">
        <is>
          <t>TK2</t>
        </is>
      </c>
      <c r="C22" s="92" t="inlineStr">
        <is>
          <t>Triển khai mở rộng trên hạ tầng có sẵn</t>
        </is>
      </c>
      <c r="D22" s="92" t="inlineStr">
        <is>
          <t xml:space="preserve"> Bổ sung 1 -5 server</t>
        </is>
      </c>
      <c r="E22" s="92" t="n"/>
      <c r="F22" s="92" t="n"/>
      <c r="G22" s="93" t="n">
        <v>6.13333333333333</v>
      </c>
    </row>
    <row r="23" ht="15" customHeight="1" s="52">
      <c r="A23" s="92" t="n">
        <v>20</v>
      </c>
      <c r="B23" s="92" t="inlineStr">
        <is>
          <t>TK3</t>
        </is>
      </c>
      <c r="C23" s="92" t="inlineStr">
        <is>
          <t>Triển khai mở rộng trên hạ tầng có sẵn</t>
        </is>
      </c>
      <c r="D23" s="92" t="inlineStr">
        <is>
          <t>Bổ sung 6-10 server</t>
        </is>
      </c>
      <c r="E23" s="92" t="n"/>
      <c r="F23" s="92" t="n"/>
      <c r="G23" s="93" t="n">
        <v>9.13103448275862</v>
      </c>
    </row>
    <row r="24" ht="15" customHeight="1" s="52">
      <c r="A24" s="92" t="n">
        <v>21</v>
      </c>
      <c r="B24" s="92" t="inlineStr">
        <is>
          <t>TK4</t>
        </is>
      </c>
      <c r="C24" s="92" t="inlineStr">
        <is>
          <t>Triển khai hệ thống mới trên hạ tầng mới</t>
        </is>
      </c>
      <c r="D24" s="92" t="inlineStr">
        <is>
          <t xml:space="preserve"> Bổ sung 1 -5 server</t>
        </is>
      </c>
      <c r="E24" s="92" t="n"/>
      <c r="F24" s="92" t="n"/>
      <c r="G24" s="93" t="n">
        <v>6.4</v>
      </c>
    </row>
    <row r="25" ht="15" customHeight="1" s="52">
      <c r="A25" s="92" t="n">
        <v>22</v>
      </c>
      <c r="B25" s="92" t="inlineStr">
        <is>
          <t>TK5</t>
        </is>
      </c>
      <c r="C25" s="92" t="inlineStr">
        <is>
          <t>Triển khai hệ thống mới trên hạ tầng mới</t>
        </is>
      </c>
      <c r="D25" s="92" t="inlineStr">
        <is>
          <t>Bổ sung 6-10 server</t>
        </is>
      </c>
      <c r="E25" s="92" t="n"/>
      <c r="F25" s="92" t="n"/>
      <c r="G25" s="93" t="n">
        <v>7.2</v>
      </c>
    </row>
    <row r="26" ht="15" customHeight="1" s="52">
      <c r="A26" s="92" t="n">
        <v>23</v>
      </c>
      <c r="B26" s="92" t="inlineStr">
        <is>
          <t>TK6</t>
        </is>
      </c>
      <c r="C26" s="92" t="inlineStr">
        <is>
          <t>Triển khai hệ thống mới trên hạ tầng mới</t>
        </is>
      </c>
      <c r="D26" s="92" t="inlineStr">
        <is>
          <t>Bổ sung &gt; 10 server</t>
        </is>
      </c>
      <c r="E26" s="92" t="n"/>
      <c r="F26" s="92" t="n"/>
      <c r="G26" s="93" t="n">
        <v>83.84</v>
      </c>
    </row>
    <row r="27" ht="15" customHeight="1" s="52">
      <c r="A27" s="92" t="n">
        <v>24</v>
      </c>
      <c r="B27" s="92" t="inlineStr">
        <is>
          <t>TK7</t>
        </is>
      </c>
      <c r="C27" s="92" t="inlineStr">
        <is>
          <t>Hồ sơ kỹ thuật</t>
        </is>
      </c>
      <c r="D27" s="92" t="n"/>
      <c r="E27" s="92" t="n"/>
      <c r="F27" s="92" t="n"/>
      <c r="G27" s="93" t="n">
        <v>72</v>
      </c>
    </row>
    <row r="28" ht="15" customHeight="1" s="52">
      <c r="A28" s="92" t="n">
        <v>25</v>
      </c>
      <c r="B28" s="92" t="inlineStr">
        <is>
          <t>TK8</t>
        </is>
      </c>
      <c r="C28" s="92" t="inlineStr">
        <is>
          <t>Bộ chỉ tiêu kỹ thuật</t>
        </is>
      </c>
      <c r="D28" s="92" t="n"/>
      <c r="E28" s="92" t="n"/>
      <c r="F28" s="92" t="n"/>
      <c r="G28" s="93" t="n">
        <v>7.2</v>
      </c>
    </row>
    <row r="29" ht="15" customHeight="1" s="52">
      <c r="A29" s="92" t="n">
        <v>26</v>
      </c>
      <c r="B29" s="92" t="inlineStr">
        <is>
          <t>TK9</t>
        </is>
      </c>
      <c r="C29" s="92" t="inlineStr">
        <is>
          <t>Dựng môi trường test hiệu năng</t>
        </is>
      </c>
      <c r="D29" s="92" t="n"/>
      <c r="E29" s="92" t="n"/>
      <c r="F29" s="92" t="n"/>
      <c r="G29" s="93" t="n">
        <v>5.6</v>
      </c>
    </row>
    <row r="30" ht="15" customHeight="1" s="52">
      <c r="A30" s="92" t="n">
        <v>27</v>
      </c>
      <c r="B30" s="92" t="inlineStr">
        <is>
          <t>TK10</t>
        </is>
      </c>
      <c r="C30" s="92" t="inlineStr">
        <is>
          <t>Test hiệu năng</t>
        </is>
      </c>
      <c r="D30" s="92" t="n"/>
      <c r="E30" s="92" t="n"/>
      <c r="F30" s="92" t="n"/>
      <c r="G30" s="93" t="n">
        <v>12</v>
      </c>
    </row>
    <row r="31" ht="15" customHeight="1" s="52">
      <c r="A31" s="92" t="n">
        <v>28</v>
      </c>
      <c r="B31" s="92" t="inlineStr">
        <is>
          <t>TK11</t>
        </is>
      </c>
      <c r="C31" s="92" t="inlineStr">
        <is>
          <t>Báo cáo và đánh giá hệ thống sau test hiệu năng</t>
        </is>
      </c>
      <c r="D31" s="92" t="n"/>
      <c r="E31" s="92" t="n"/>
      <c r="F31" s="92" t="n"/>
      <c r="G31" s="93" t="n">
        <v>7.2</v>
      </c>
    </row>
    <row r="32" ht="15" customHeight="1" s="52">
      <c r="A32" s="92" t="n">
        <v>29</v>
      </c>
      <c r="B32" s="92" t="inlineStr">
        <is>
          <t>DT1</t>
        </is>
      </c>
      <c r="C32" s="92" t="inlineStr">
        <is>
          <t>Đào tạo VHKT</t>
        </is>
      </c>
      <c r="D32" s="92" t="n"/>
      <c r="E32" s="92" t="n"/>
      <c r="F32" s="92" t="n"/>
      <c r="G32" s="93" t="n">
        <v>2</v>
      </c>
    </row>
    <row r="33" ht="15" customHeight="1" s="52">
      <c r="A33" s="92" t="n">
        <v>30</v>
      </c>
      <c r="B33" s="92" t="inlineStr">
        <is>
          <t>DT2</t>
        </is>
      </c>
      <c r="C33" s="92" t="inlineStr">
        <is>
          <t>Đào tạo Người dùng</t>
        </is>
      </c>
      <c r="D33" s="92" t="n"/>
      <c r="E33" s="92" t="n"/>
      <c r="F33" s="92" t="n"/>
      <c r="G33" s="93" t="n">
        <v>2</v>
      </c>
    </row>
    <row r="34" ht="15" customHeight="1" s="52">
      <c r="A34" s="92" t="n">
        <v>31</v>
      </c>
      <c r="B34" s="92" t="inlineStr">
        <is>
          <t>DT3</t>
        </is>
      </c>
      <c r="C34" s="92" t="inlineStr">
        <is>
          <t>Đào tạo CSKH</t>
        </is>
      </c>
      <c r="D34" s="92" t="n"/>
      <c r="E34" s="92" t="n"/>
      <c r="F34" s="92" t="n"/>
      <c r="G34" s="93" t="n">
        <v>2</v>
      </c>
    </row>
    <row r="35" ht="15" customHeight="1" s="52">
      <c r="A35" s="92" t="n">
        <v>32</v>
      </c>
      <c r="B35" s="92" t="inlineStr">
        <is>
          <t>DT4</t>
        </is>
      </c>
      <c r="C35" s="92" t="inlineStr">
        <is>
          <t>Tài liệu HDVH</t>
        </is>
      </c>
      <c r="D35" s="92" t="n"/>
      <c r="E35" s="92" t="n"/>
      <c r="F35" s="92" t="n"/>
      <c r="G35" s="93" t="n">
        <v>4</v>
      </c>
    </row>
    <row r="36" ht="15" customHeight="1" s="52">
      <c r="A36" s="92" t="n">
        <v>33</v>
      </c>
      <c r="B36" s="92" t="inlineStr">
        <is>
          <t>DT5</t>
        </is>
      </c>
      <c r="C36" s="92" t="inlineStr">
        <is>
          <t>Tài liệu HDKT</t>
        </is>
      </c>
      <c r="D36" s="92" t="n"/>
      <c r="E36" s="92" t="n"/>
      <c r="F36" s="92" t="n"/>
      <c r="G36" s="93" t="n">
        <v>2</v>
      </c>
    </row>
    <row r="37" ht="15" customHeight="1" s="52">
      <c r="A37" s="92" t="n">
        <v>34</v>
      </c>
      <c r="B37" s="92" t="inlineStr">
        <is>
          <t>DT6</t>
        </is>
      </c>
      <c r="C37" s="92" t="inlineStr">
        <is>
          <t>Tài liệu hướng dẫn cài đặt</t>
        </is>
      </c>
      <c r="D37" s="92" t="n"/>
      <c r="E37" s="92" t="n"/>
      <c r="F37" s="92" t="n"/>
      <c r="G37" s="93" t="n">
        <v>4</v>
      </c>
    </row>
    <row r="38" ht="15" customHeight="1" s="52">
      <c r="A38" s="92" t="n">
        <v>35</v>
      </c>
      <c r="B38" s="92" t="inlineStr">
        <is>
          <t>VH1</t>
        </is>
      </c>
      <c r="C38" s="92" t="inlineStr">
        <is>
          <t>Rà soát ATTT server</t>
        </is>
      </c>
      <c r="D38" s="92" t="n"/>
      <c r="E38" s="92" t="n"/>
      <c r="F38" s="92" t="n"/>
      <c r="G38" s="93" t="n">
        <v>4</v>
      </c>
    </row>
    <row r="39" ht="15" customHeight="1" s="52">
      <c r="A39" s="92" t="n">
        <v>36</v>
      </c>
      <c r="B39" s="92" t="inlineStr">
        <is>
          <t>VH2</t>
        </is>
      </c>
      <c r="C39" s="92" t="inlineStr">
        <is>
          <t>Rà soát ATTT ứng dụng</t>
        </is>
      </c>
      <c r="D39" s="92" t="n"/>
      <c r="E39" s="92" t="n"/>
      <c r="F39" s="92" t="n"/>
      <c r="G39" s="93" t="n">
        <v>4</v>
      </c>
    </row>
    <row r="40" ht="15" customHeight="1" s="52">
      <c r="A40" s="92" t="n">
        <v>37</v>
      </c>
      <c r="B40" s="92" t="inlineStr">
        <is>
          <t>VH3</t>
        </is>
      </c>
      <c r="C40" s="92" t="inlineStr">
        <is>
          <t>Rà soát dự phòng</t>
        </is>
      </c>
      <c r="D40" s="92" t="n"/>
      <c r="E40" s="92" t="n"/>
      <c r="F40" s="92" t="n"/>
      <c r="G40" s="93" t="n">
        <v>2</v>
      </c>
    </row>
    <row r="41" ht="15" customHeight="1" s="52">
      <c r="A41" s="92" t="n">
        <v>38</v>
      </c>
      <c r="B41" s="92" t="inlineStr">
        <is>
          <t>VH4</t>
        </is>
      </c>
      <c r="C41" s="92" t="inlineStr">
        <is>
          <t>Khai báo cảnh báo, giám sát</t>
        </is>
      </c>
      <c r="D41" s="92" t="n"/>
      <c r="E41" s="92" t="n"/>
      <c r="F41" s="92" t="n"/>
      <c r="G41" s="93" t="n">
        <v>28</v>
      </c>
    </row>
    <row r="42" ht="15" customHeight="1" s="52">
      <c r="A42" s="92" t="n">
        <v>39</v>
      </c>
      <c r="B42" s="92" t="inlineStr">
        <is>
          <t>VH5</t>
        </is>
      </c>
      <c r="C42" s="92" t="inlineStr">
        <is>
          <t>Hỗ trợ phản ánh</t>
        </is>
      </c>
      <c r="D42" s="92" t="inlineStr">
        <is>
          <t>- Hệ thống đã bàn giao</t>
        </is>
      </c>
      <c r="E42" s="92" t="n"/>
      <c r="F42" s="92" t="n"/>
      <c r="G42" s="93" t="n">
        <v>1.88235294117647</v>
      </c>
    </row>
    <row r="43" ht="15" customHeight="1" s="52">
      <c r="A43" s="92" t="n">
        <v>40</v>
      </c>
      <c r="B43" s="92" t="inlineStr">
        <is>
          <t>VH6</t>
        </is>
      </c>
      <c r="C43" s="92" t="inlineStr">
        <is>
          <t>Hỗ trợ phản ánh</t>
        </is>
      </c>
      <c r="D43" s="92" t="inlineStr">
        <is>
          <t>- Hệ thống chưa bàn giao:</t>
        </is>
      </c>
      <c r="E43" s="92" t="n"/>
      <c r="F43" s="92" t="n"/>
      <c r="G43" s="93" t="n">
        <v>24</v>
      </c>
    </row>
    <row r="44" ht="15" customHeight="1" s="52">
      <c r="A44" s="92" t="n">
        <v>41</v>
      </c>
      <c r="B44" s="92" t="inlineStr">
        <is>
          <t>VH7</t>
        </is>
      </c>
      <c r="C44" s="92" t="inlineStr">
        <is>
          <t>Fix lỗi sau triển khai</t>
        </is>
      </c>
      <c r="D44" s="92" t="n"/>
      <c r="E44" s="92" t="n"/>
      <c r="F44" s="92" t="n"/>
      <c r="G44" s="93" t="n">
        <v>4</v>
      </c>
    </row>
    <row r="45" ht="15" customHeight="1" s="52">
      <c r="A45" s="92" t="n">
        <v>42</v>
      </c>
      <c r="B45" s="92" t="inlineStr">
        <is>
          <t>VH8</t>
        </is>
      </c>
      <c r="C45" s="92" t="inlineStr">
        <is>
          <t>Test fix lỗi sau triển khai</t>
        </is>
      </c>
      <c r="D45" s="92" t="n"/>
      <c r="E45" s="92" t="n"/>
      <c r="F45" s="92" t="n"/>
      <c r="G45" s="93" t="n">
        <v>68</v>
      </c>
    </row>
    <row r="46" ht="15" customHeight="1" s="52">
      <c r="A46" s="92" t="n">
        <v>43</v>
      </c>
      <c r="B46" s="92" t="inlineStr">
        <is>
          <t>VH9</t>
        </is>
      </c>
      <c r="C46" s="92" t="inlineStr">
        <is>
          <t>Theo dõi log hệ thống sau khi triển khai</t>
        </is>
      </c>
      <c r="D46" s="92" t="n"/>
      <c r="E46" s="92" t="n"/>
      <c r="F46" s="92" t="n"/>
      <c r="G46" s="93" t="n">
        <v>24</v>
      </c>
    </row>
    <row r="47" ht="23.25" customHeight="1" s="52">
      <c r="A47" s="92" t="n">
        <v>44</v>
      </c>
      <c r="B47" s="92" t="inlineStr">
        <is>
          <t>VH10</t>
        </is>
      </c>
      <c r="C47" s="92" t="inlineStr">
        <is>
          <t>Rà soát các phản ánh người dùng để chủ động tối ưu</t>
        </is>
      </c>
      <c r="D47" s="92" t="n"/>
      <c r="E47" s="92" t="n"/>
      <c r="F47" s="92" t="n"/>
      <c r="G47" s="93" t="n">
        <v>8</v>
      </c>
    </row>
    <row r="48" ht="23.25" customHeight="1" s="52">
      <c r="A48" s="92" t="n">
        <v>45</v>
      </c>
      <c r="B48" s="92" t="inlineStr">
        <is>
          <t>KH1</t>
        </is>
      </c>
      <c r="C48" s="92" t="inlineStr">
        <is>
          <t>Xây dựng kế hoạch dự án trình ký BGĐ/Ban TGĐ</t>
        </is>
      </c>
      <c r="D48" s="92" t="n"/>
      <c r="E48" s="92" t="n"/>
      <c r="F48" s="92" t="n"/>
      <c r="G48" s="93" t="n">
        <v>40</v>
      </c>
    </row>
    <row r="49" ht="23.25" customHeight="1" s="52">
      <c r="A49" s="92" t="n">
        <v>46</v>
      </c>
      <c r="B49" s="92" t="inlineStr">
        <is>
          <t>KH2</t>
        </is>
      </c>
      <c r="C49" s="92" t="inlineStr">
        <is>
          <t>Xây dựng kế hoạch dựa trên ULNL và tình hình nhân sự của dự án.</t>
        </is>
      </c>
      <c r="D49" s="92" t="n"/>
      <c r="E49" s="92" t="n"/>
      <c r="F49" s="92" t="n"/>
      <c r="G49" s="93" t="n">
        <v>1.43818181818182</v>
      </c>
    </row>
    <row r="50" ht="15" customHeight="1" s="52">
      <c r="A50" s="92" t="n">
        <v>47</v>
      </c>
      <c r="B50" s="92" t="inlineStr">
        <is>
          <t>RV1</t>
        </is>
      </c>
      <c r="C50" s="92" t="inlineStr">
        <is>
          <t>Review tài liệu giải pháp</t>
        </is>
      </c>
      <c r="D50" s="92" t="n"/>
      <c r="E50" s="92" t="n"/>
      <c r="F50" s="92" t="n"/>
      <c r="G50" s="93" t="n">
        <v>1.76666666666667</v>
      </c>
    </row>
    <row r="51" ht="15" customHeight="1" s="52">
      <c r="A51" s="92" t="n">
        <v>48</v>
      </c>
      <c r="B51" s="92" t="inlineStr">
        <is>
          <t>RV2</t>
        </is>
      </c>
      <c r="C51" s="92" t="inlineStr">
        <is>
          <t>Review code</t>
        </is>
      </c>
      <c r="D51" s="92" t="n"/>
      <c r="E51" s="92" t="n"/>
      <c r="F51" s="92" t="n"/>
      <c r="G51" s="93" t="n">
        <v>2.9</v>
      </c>
    </row>
    <row r="52" ht="57" customHeight="1" s="52">
      <c r="A52" s="92" t="n">
        <v>49</v>
      </c>
      <c r="B52" s="92" t="inlineStr">
        <is>
          <t>NC01</t>
        </is>
      </c>
      <c r="C52" s="92" t="inlineStr">
        <is>
          <t>Nghiên cứu, tìm hiểu công nghệ mới khi tích hợp</t>
        </is>
      </c>
      <c r="D52" s="92" t="n"/>
      <c r="E52" s="92" t="inlineStr">
        <is>
          <t>Khi các chức năng trên hệ thống có tích hợp với hệ thống bên ngoài cần phải tìm hiểu các lib, sdk công nghệ mà đối  tác cung cấp.</t>
        </is>
      </c>
      <c r="F52" s="92" t="n"/>
      <c r="G52" s="93" t="n">
        <v>8</v>
      </c>
    </row>
    <row r="53" ht="23.25" customHeight="1" s="52">
      <c r="A53" s="92" t="n">
        <v>50</v>
      </c>
      <c r="B53" s="92" t="inlineStr">
        <is>
          <t>DTNB01</t>
        </is>
      </c>
      <c r="C53" s="92" t="inlineStr">
        <is>
          <t>Chuẩn bị nội dung đào tạo,Xây dựng kế hoạch đào tạo</t>
        </is>
      </c>
      <c r="D53" s="92" t="n"/>
      <c r="E53" s="92" t="n"/>
      <c r="F53" s="92" t="n"/>
      <c r="G53" s="93" t="n">
        <v>4</v>
      </c>
    </row>
    <row r="54" ht="15" customHeight="1" s="52">
      <c r="A54" s="92" t="n">
        <v>51</v>
      </c>
      <c r="B54" s="92" t="inlineStr">
        <is>
          <t>DTNB02</t>
        </is>
      </c>
      <c r="C54" s="92" t="inlineStr">
        <is>
          <t>Tham gia đào tạo</t>
        </is>
      </c>
      <c r="D54" s="92" t="n"/>
      <c r="E54" s="92" t="n"/>
      <c r="F54" s="92" t="n"/>
      <c r="G54" s="93" t="n">
        <v>4</v>
      </c>
    </row>
    <row r="55" ht="23.25" customHeight="1" s="52">
      <c r="A55" s="92" t="n">
        <v>52</v>
      </c>
      <c r="B55" s="92" t="inlineStr">
        <is>
          <t>HOP2</t>
        </is>
      </c>
      <c r="C55" s="92" t="inlineStr">
        <is>
          <t>Họp dự án/ họp thống nhất giải pháp/Họp triển khai …</t>
        </is>
      </c>
      <c r="D55" s="92" t="n"/>
      <c r="E55" s="92" t="n"/>
      <c r="F55" s="92" t="n"/>
      <c r="G55" s="93" t="n">
        <v>4</v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2026-05-15T08:15:46Z</dcterms:created>
  <dcterms:modified xmlns:dcterms="http://purl.org/dc/terms/" xmlns:xsi="http://www.w3.org/2001/XMLSchema-instance" xsi:type="dcterms:W3CDTF">2026-05-15T09:33:43Z</dcterms:modified>
  <cp:revision>0</cp:revision>
</cp:coreProperties>
</file>